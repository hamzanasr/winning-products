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اقرأني" sheetId="1" state="visible" r:id="rId1"/>
    <sheet xmlns:r="http://schemas.openxmlformats.org/officeDocument/2006/relationships" name="الافتراضات" sheetId="2" state="visible" r:id="rId2"/>
    <sheet xmlns:r="http://schemas.openxmlformats.org/officeDocument/2006/relationships" name="موثّق" sheetId="3" state="visible" r:id="rId3"/>
    <sheet xmlns:r="http://schemas.openxmlformats.org/officeDocument/2006/relationships" name="مرشحون" sheetId="4" state="visible" r:id="rId4"/>
  </sheets>
  <definedNames>
    <definedName name="_xlnm._FilterDatabase" localSheetId="2" hidden="1">'موثّق'!$A$1:$AF$44</definedName>
    <definedName name="_xlnm._FilterDatabase" localSheetId="3" hidden="1">'مرشحون'!$A$1:$AF$458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000000"/>
      <sz val="11"/>
    </font>
    <font>
      <name val="Arial"/>
      <b val="1"/>
      <color rgb="001F3864"/>
      <sz val="11"/>
    </font>
    <font>
      <name val="Arial"/>
      <b val="1"/>
      <color rgb="001F3864"/>
      <sz val="13"/>
    </font>
    <font>
      <name val="Arial"/>
    </font>
    <font>
      <name val="Arial"/>
      <color rgb="000000FF"/>
    </font>
    <font>
      <name val="Arial"/>
      <i val="1"/>
      <color rgb="00595959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top" wrapText="1"/>
    </xf>
    <xf numFmtId="0" fontId="3" fillId="0" borderId="0" applyAlignment="1" pivotButton="0" quotePrefix="0" xfId="0">
      <alignment horizontal="right" vertical="top" wrapText="1"/>
    </xf>
    <xf numFmtId="0" fontId="4" fillId="0" borderId="0" pivotButton="0" quotePrefix="0" xfId="0"/>
    <xf numFmtId="0" fontId="5" fillId="0" borderId="0" pivotButton="0" quotePrefix="0" xfId="0"/>
    <xf numFmtId="2" fontId="6" fillId="2" borderId="1" pivotButton="0" quotePrefix="0" xfId="0"/>
    <xf numFmtId="0" fontId="7" fillId="0" borderId="0" pivotButton="0" quotePrefix="0" xfId="0"/>
    <xf numFmtId="9" fontId="6" fillId="2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 wrapText="1"/>
    </xf>
    <xf numFmtId="1" fontId="6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rightToLeft="1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منتجات نون المقترحة: نسخة محدّثة بالرسوم الرسمية وأسعار المصانع</t>
        </is>
      </c>
    </row>
    <row r="2">
      <c r="A2" s="2" t="inlineStr"/>
    </row>
    <row r="3">
      <c r="A3" s="3" t="inlineStr">
        <is>
          <t>ما الجديد في هذه النسخة</t>
        </is>
      </c>
    </row>
    <row r="4">
      <c r="A4" s="2" t="inlineStr">
        <is>
          <t>1) عمولة نون ورسوم FBN مأخوذة الآن من جدول رسوم نون الرسمي للسعودية (ساري من 1 سبتمبر 2025)، وليست تقديراً موحداً. العمولة تختلف حسب الفئة (من 6% إلى 25%)، ورسوم FBN حسب الوزن وسعر البيع.</t>
        </is>
      </c>
    </row>
    <row r="5">
      <c r="A5" s="2" t="inlineStr">
        <is>
          <t>2) تكلفة المصنع لـ 29 منتج من الـ 43 الموثّقة مأخوذة من قوائم موردين فعلية على موقع Made-in-China.com (الوسيط للأسعار عند حد أدنى للطلب 1000 قطعة أو أقل). الباقي تقدير.</t>
        </is>
      </c>
    </row>
    <row r="6">
      <c r="A6" s="2" t="inlineStr"/>
    </row>
    <row r="7">
      <c r="A7" s="3" t="inlineStr">
        <is>
          <t>ورقة (موثّق): المنتجات اللي عندها سعر نون فعلي</t>
        </is>
      </c>
    </row>
    <row r="8">
      <c r="A8" s="2" t="inlineStr">
        <is>
          <t>43 منتج فحصت أسعارها ومنافستها على نون قبل أن يحظر الفحص الآلي. بعد الرسوم الرسمية وأسعار المصانع: 4 منتجات بهامش 30% أو أكثر، و15 بين 20% و30%.</t>
        </is>
      </c>
    </row>
    <row r="9">
      <c r="A9" s="3" t="inlineStr">
        <is>
          <t>ورقة (مرشحون): المنتجات اللي ما فحصتها</t>
        </is>
      </c>
    </row>
    <row r="10">
      <c r="A10" s="2" t="inlineStr">
        <is>
          <t>457 منتجاً سعر نون لها تقدير متحفظ (نسبة 3.0 إلى تكلفة المصنع بالريال، مستخرجة من الموثّقة)، وتكلفة مصنعها تقدير مني. منها 8 فوق 30% و42 بين 20% و30%. هذه أولويات بحث وليست نتائج مؤكدة.</t>
        </is>
      </c>
    </row>
    <row r="11">
      <c r="A11" s="2" t="inlineStr"/>
    </row>
    <row r="12">
      <c r="A12" s="3" t="inlineStr">
        <is>
          <t>ما زال غير مؤكد</t>
        </is>
      </c>
    </row>
    <row r="13">
      <c r="A13" s="2" t="inlineStr">
        <is>
          <t>سعر البيع الفعلي للمرشحين غير المفحوصين، وتكلفة المصنع لكل المنتجات التي بدون قوائم مطابقة. علي بابا منع الوصول الآلي (كابتشا)، ونون حظر الفحص الآلي.</t>
        </is>
      </c>
    </row>
    <row r="14">
      <c r="A14" s="2" t="inlineStr">
        <is>
          <t>أسعار Made-in-China هي أسعار قوائم عامة بجودات مختلفة. اطلب عينات وعروض أسعار من 2 إلى 3 موردين، وتأكد من جودة وشهادات المنتج.</t>
        </is>
      </c>
    </row>
    <row r="15">
      <c r="A15" s="2" t="inlineStr">
        <is>
          <t>العمولة محسوبة على سعر البيع الشامل للضريبة (متحفظ)، والحد الأدنى للعمولة 1 ريال للقطعة. تستثنى الاستثناءات الخاصة بالماركات والمنتجات المذكورة في ورقة الاستثناءات عند نون.</t>
        </is>
      </c>
    </row>
    <row r="16">
      <c r="A16" s="2" t="inlineStr"/>
    </row>
    <row r="17">
      <c r="A17" s="3" t="inlineStr">
        <is>
          <t>المصادر</t>
        </is>
      </c>
    </row>
    <row r="18">
      <c r="A18" s="2" t="inlineStr">
        <is>
          <t>جدول رسوم FBN السعودية الرسمي: supportagent.noon.partners/portal/en/kb/articles/fulfilled-by-noon-fbn-fees-in-ksa</t>
        </is>
      </c>
    </row>
    <row r="19">
      <c r="A19" s="2" t="inlineStr">
        <is>
          <t>أسعار المصانع: صفحات البحث العامة في made-in-china.com (تاريخ الجمع 16 أكتوبر 2026)</t>
        </is>
      </c>
    </row>
    <row r="20">
      <c r="A20" s="2" t="inlineStr">
        <is>
          <t>سعر البيع على نون: نتائج بحث noon.com/saudi-en (40% من أسعار المنافسين المطابقين في أول 24 نتيجة)</t>
        </is>
      </c>
    </row>
    <row r="21">
      <c r="A21" s="2" t="inlineStr"/>
    </row>
    <row r="22">
      <c r="A22" s="3" t="inlineStr">
        <is>
          <t>معنى التقييم</t>
        </is>
      </c>
    </row>
    <row r="23">
      <c r="A23" s="2" t="inlineStr">
        <is>
          <t>ابدأ به: هامش 30% أو أكثر ولا يحتاج شهادات.   جيد – يحتاج شهادة: 30% أو أكثر لكن يحتاج SABER أو غيرها.   مقبول: بين 20% و30%.   ضعيف: أقل من 20%.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80" customWidth="1" min="3" max="3"/>
  </cols>
  <sheetData>
    <row r="1">
      <c r="A1" s="4" t="inlineStr">
        <is>
          <t>الافتراضات العامة (عدّل الخلايا الصفراء)</t>
        </is>
      </c>
    </row>
    <row r="2">
      <c r="A2" s="5" t="inlineStr">
        <is>
          <t>سعر صرف الدولار (ريال)</t>
        </is>
      </c>
      <c r="B2" s="6" t="n">
        <v>3.75</v>
      </c>
      <c r="C2" s="7" t="inlineStr">
        <is>
          <t>السعر الرسمي الثابت</t>
        </is>
      </c>
    </row>
    <row r="3">
      <c r="A3" s="5" t="inlineStr">
        <is>
          <t>رسوم وكيل الشراء والشحن الداخلي في الصين (% من تكلفة المصنع)</t>
        </is>
      </c>
      <c r="B3" s="8" t="n">
        <v>0.08</v>
      </c>
      <c r="C3" s="7" t="inlineStr">
        <is>
          <t>تقدير</t>
        </is>
      </c>
    </row>
    <row r="4">
      <c r="A4" s="5" t="inlineStr">
        <is>
          <t>الشحن الدولي من الصين للسعودية (ريال لكل كجم)</t>
        </is>
      </c>
      <c r="B4" s="6" t="n">
        <v>8</v>
      </c>
      <c r="C4" s="7" t="inlineStr">
        <is>
          <t>تقدير للشحن البحري المجمّع (6–10 ريال/كجم). اطلب عرضاً حقيقياً</t>
        </is>
      </c>
    </row>
    <row r="5">
      <c r="A5" s="5" t="inlineStr">
        <is>
          <t>الرسوم الجمركية (% من قيمة البضاعة والشحن)</t>
        </is>
      </c>
      <c r="B5" s="8" t="n">
        <v>0.05</v>
      </c>
      <c r="C5" s="7" t="inlineStr">
        <is>
          <t>تقدير، وتختلف حسب كود HS</t>
        </is>
      </c>
    </row>
    <row r="6">
      <c r="A6" s="5" t="inlineStr">
        <is>
          <t>ضريبة القيمة المضافة</t>
        </is>
      </c>
      <c r="B6" s="8" t="n">
        <v>0.15</v>
      </c>
      <c r="C6" s="7" t="inlineStr">
        <is>
          <t>سعر البيع في الملف شامل للضريبة</t>
        </is>
      </c>
    </row>
    <row r="7">
      <c r="A7" s="5" t="inlineStr">
        <is>
          <t>الإعلانات (% من سعر البيع)</t>
        </is>
      </c>
      <c r="B7" s="8" t="n">
        <v>0.08</v>
      </c>
      <c r="C7" s="7" t="inlineStr">
        <is>
          <t>تقدير لمرحلة البداية</t>
        </is>
      </c>
    </row>
    <row r="8">
      <c r="A8" s="5" t="inlineStr">
        <is>
          <t>المرتجعات والتالف (% من سعر البيع)</t>
        </is>
      </c>
      <c r="B8" s="8" t="n">
        <v>0.03</v>
      </c>
      <c r="C8" s="7" t="inlineStr">
        <is>
          <t>تقدير</t>
        </is>
      </c>
    </row>
    <row r="9">
      <c r="A9" s="5" t="inlineStr">
        <is>
          <t>الهامش المستهدف</t>
        </is>
      </c>
      <c r="B9" s="8" t="n">
        <v>0.3</v>
      </c>
      <c r="C9" s="7" t="inlineStr"/>
    </row>
    <row r="10">
      <c r="A10" s="5" t="inlineStr">
        <is>
          <t>الهامش المقبول</t>
        </is>
      </c>
      <c r="B10" s="8" t="n">
        <v>0.2</v>
      </c>
      <c r="C10" s="7" t="inlineStr"/>
    </row>
    <row r="13">
      <c r="A13" s="7" t="inlineStr">
        <is>
          <t>ملاحظة: عمولة نون ورسوم FBN رسمية وتختلف لكل منتج، فهي مدخلات في ورقة المنتجات (الأعمدة P وQ بالأزرق).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4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36" customWidth="1" min="3" max="3"/>
    <col width="30" customWidth="1" min="4" max="4"/>
    <col width="11" customWidth="1" min="5" max="5"/>
    <col width="11" customWidth="1" min="6" max="6"/>
    <col width="13" customWidth="1" min="7" max="7"/>
    <col width="9" customWidth="1" min="8" max="8"/>
    <col width="8" customWidth="1" min="9" max="9"/>
    <col width="10" customWidth="1" min="10" max="10"/>
    <col width="17" customWidth="1" min="11" max="11"/>
    <col width="8" customWidth="1" min="12" max="12"/>
    <col width="8" customWidth="1" min="13" max="13"/>
    <col width="14" customWidth="1" min="14" max="14"/>
    <col width="20" customWidth="1" min="15" max="15"/>
    <col width="9" customWidth="1" min="16" max="16"/>
    <col width="10" customWidth="1" min="17" max="17"/>
    <col width="8" customWidth="1" min="18" max="18"/>
    <col width="10" customWidth="1" min="19" max="19"/>
    <col width="10" customWidth="1" min="20" max="20"/>
    <col width="9" customWidth="1" min="21" max="21"/>
    <col width="10" customWidth="1" min="22" max="22"/>
    <col width="9" customWidth="1" min="23" max="23"/>
    <col width="9" customWidth="1" min="24" max="24"/>
    <col width="9" customWidth="1" min="25" max="25"/>
    <col width="11" customWidth="1" min="26" max="26"/>
    <col width="11" customWidth="1" min="27" max="27"/>
    <col width="9" customWidth="1" min="28" max="28"/>
    <col width="9" customWidth="1" min="29" max="29"/>
    <col width="12" customWidth="1" min="30" max="30"/>
    <col width="17" customWidth="1" min="31" max="31"/>
    <col width="13" customWidth="1" min="32" max="32"/>
  </cols>
  <sheetData>
    <row r="1" ht="54" customHeight="1">
      <c r="A1" s="9" t="inlineStr">
        <is>
          <t>#</t>
        </is>
      </c>
      <c r="B1" s="9" t="inlineStr">
        <is>
          <t>الفئة</t>
        </is>
      </c>
      <c r="C1" s="9" t="inlineStr">
        <is>
          <t>المنتج</t>
        </is>
      </c>
      <c r="D1" s="9" t="inlineStr">
        <is>
          <t>كلمة البحث (نون / علي بابا)</t>
        </is>
      </c>
      <c r="E1" s="9" t="inlineStr">
        <is>
          <t>سعر البيع على نون (ريال)</t>
        </is>
      </c>
      <c r="F1" s="9" t="inlineStr">
        <is>
          <t>مصدر السعر</t>
        </is>
      </c>
      <c r="G1" s="9" t="inlineStr">
        <is>
          <t>نطاق أسعار المنافسين</t>
        </is>
      </c>
      <c r="H1" s="9" t="inlineStr">
        <is>
          <t>المنافسة</t>
        </is>
      </c>
      <c r="I1" s="9" t="inlineStr">
        <is>
          <t>الطلب</t>
        </is>
      </c>
      <c r="J1" s="9" t="inlineStr">
        <is>
          <t>تكلفة المصنع ($)</t>
        </is>
      </c>
      <c r="K1" s="9" t="inlineStr">
        <is>
          <t>مصدر التكلفة</t>
        </is>
      </c>
      <c r="L1" s="9" t="inlineStr">
        <is>
          <t>الوزن (كجم)</t>
        </is>
      </c>
      <c r="M1" s="9" t="inlineStr">
        <is>
          <t>الحجم</t>
        </is>
      </c>
      <c r="N1" s="9" t="inlineStr">
        <is>
          <t>الموسم</t>
        </is>
      </c>
      <c r="O1" s="9" t="inlineStr">
        <is>
          <t>شهادات / اشتراطات</t>
        </is>
      </c>
      <c r="P1" s="9" t="inlineStr">
        <is>
          <t>عمولة نون الرسمية</t>
        </is>
      </c>
      <c r="Q1" s="9" t="inlineStr">
        <is>
          <t>رسوم FBN الرسمية (ريال)</t>
        </is>
      </c>
      <c r="R1" s="9" t="inlineStr">
        <is>
          <t>كمية الاختبار</t>
        </is>
      </c>
      <c r="S1" s="9" t="inlineStr">
        <is>
          <t>تكلفة المصنع (ريال)</t>
        </is>
      </c>
      <c r="T1" s="9" t="inlineStr">
        <is>
          <t>الشحن الدولي (ريال)</t>
        </is>
      </c>
      <c r="U1" s="9" t="inlineStr">
        <is>
          <t>الجمارك (ريال)</t>
        </is>
      </c>
      <c r="V1" s="9" t="inlineStr">
        <is>
          <t>التكلفة الواصلة</t>
        </is>
      </c>
      <c r="W1" s="9" t="inlineStr">
        <is>
          <t>عمولة نون (ريال)</t>
        </is>
      </c>
      <c r="X1" s="9" t="inlineStr">
        <is>
          <t>الإعلانات</t>
        </is>
      </c>
      <c r="Y1" s="9" t="inlineStr">
        <is>
          <t>مرتجعات وتالف</t>
        </is>
      </c>
      <c r="Z1" s="9" t="inlineStr">
        <is>
          <t>صافي البيع بدون ضريبة</t>
        </is>
      </c>
      <c r="AA1" s="9" t="inlineStr">
        <is>
          <t>صافي الربح للوحدة</t>
        </is>
      </c>
      <c r="AB1" s="9" t="inlineStr">
        <is>
          <t>هامش الربح</t>
        </is>
      </c>
      <c r="AC1" s="9" t="inlineStr">
        <is>
          <t>العائد على التكلفة</t>
        </is>
      </c>
      <c r="AD1" s="9" t="inlineStr">
        <is>
          <t>رأس المال لكمية الاختبار</t>
        </is>
      </c>
      <c r="AE1" s="9" t="inlineStr">
        <is>
          <t>التقييم</t>
        </is>
      </c>
      <c r="AF1" s="9" t="inlineStr">
        <is>
          <t>أقل سعر بيع يحقق الهدف (ريال)</t>
        </is>
      </c>
    </row>
    <row r="2">
      <c r="A2" s="10" t="n">
        <v>1</v>
      </c>
      <c r="B2" s="11" t="inlineStr">
        <is>
          <t>إكسسوارات الجوال والإلكترونيات</t>
        </is>
      </c>
      <c r="C2" s="11" t="inlineStr">
        <is>
          <t>ميكروفون سلكي لاڤالير للجوال</t>
        </is>
      </c>
      <c r="D2" s="11" t="inlineStr">
        <is>
          <t>wired lavalier microphone 3.5mm</t>
        </is>
      </c>
      <c r="E2" s="12" t="n">
        <v>79</v>
      </c>
      <c r="F2" s="10" t="inlineStr">
        <is>
          <t>فعلي من نون</t>
        </is>
      </c>
      <c r="G2" s="10" t="inlineStr">
        <is>
          <t>فعلي: 24–179</t>
        </is>
      </c>
      <c r="H2" s="10" t="inlineStr">
        <is>
          <t>عالية</t>
        </is>
      </c>
      <c r="I2" s="10" t="inlineStr">
        <is>
          <t>مؤكد</t>
        </is>
      </c>
      <c r="J2" s="13" t="n">
        <v>2</v>
      </c>
      <c r="K2" s="11" t="inlineStr">
        <is>
          <t>سعر مصانع فعلي (1 قائمة)</t>
        </is>
      </c>
      <c r="L2" s="14" t="n">
        <v>0.08</v>
      </c>
      <c r="M2" s="10" t="inlineStr">
        <is>
          <t>صغير</t>
        </is>
      </c>
      <c r="N2" s="11" t="inlineStr">
        <is>
          <t>طوال السنة</t>
        </is>
      </c>
      <c r="O2" s="11" t="inlineStr">
        <is>
          <t>لا</t>
        </is>
      </c>
      <c r="P2" s="15" t="n">
        <v>0.15</v>
      </c>
      <c r="Q2" s="14" t="n">
        <v>8</v>
      </c>
      <c r="R2" s="14" t="n">
        <v>50</v>
      </c>
      <c r="S2" s="16">
        <f>J2*'الافتراضات'!$B$2*(1+'الافتراضات'!$B$3)</f>
        <v/>
      </c>
      <c r="T2" s="16">
        <f>L2*'الافتراضات'!$B$4</f>
        <v/>
      </c>
      <c r="U2" s="16">
        <f>(S2+T2)*'الافتراضات'!$B$5</f>
        <v/>
      </c>
      <c r="V2" s="16">
        <f>S2+T2+U2</f>
        <v/>
      </c>
      <c r="W2" s="16">
        <f>MAX(1,E2*P2)</f>
        <v/>
      </c>
      <c r="X2" s="16">
        <f>E2*'الافتراضات'!$B$7</f>
        <v/>
      </c>
      <c r="Y2" s="16">
        <f>E2*'الافتراضات'!$B$8</f>
        <v/>
      </c>
      <c r="Z2" s="16">
        <f>E2/(1+'الافتراضات'!$B$6)</f>
        <v/>
      </c>
      <c r="AA2" s="16">
        <f>Z2-V2-W2-Q2-X2-Y2</f>
        <v/>
      </c>
      <c r="AB2" s="17">
        <f>IF(Z2=0,0,AA2/Z2)</f>
        <v/>
      </c>
      <c r="AC2" s="17">
        <f>IF(V2=0,0,AA2/V2)</f>
        <v/>
      </c>
      <c r="AD2" s="18">
        <f>R2*V2</f>
        <v/>
      </c>
      <c r="AE2" s="16">
        <f>IF(AB2&gt;='الافتراضات'!$B$9,IF(O2="لا","ابدأ به","جيد – يحتاج شهادة"),IF(AB2&gt;='الافتراضات'!$B$10,"مقبول","ضعيف"))</f>
        <v/>
      </c>
      <c r="AF2" s="16">
        <f>IF((1-'الافتراضات'!$B$9)/(1+'الافتراضات'!$B$6)-P2-'الافتراضات'!$B$7-'الافتراضات'!$B$8&lt;=0,0,(V2+Q2)/((1-'الافتراضات'!$B$9)/(1+'الافتراضات'!$B$6)-P2-'الافتراضات'!$B$7-'الافتراضات'!$B$8))</f>
        <v/>
      </c>
    </row>
    <row r="3">
      <c r="A3" s="10" t="n">
        <v>2</v>
      </c>
      <c r="B3" s="11" t="inlineStr">
        <is>
          <t>إكسسوارات الجوال والإلكترونيات</t>
        </is>
      </c>
      <c r="C3" s="11" t="inlineStr">
        <is>
          <t>علبة هارد SSD M.2 خارجية</t>
        </is>
      </c>
      <c r="D3" s="11" t="inlineStr">
        <is>
          <t>M.2 NVMe SSD enclosure USB-C</t>
        </is>
      </c>
      <c r="E3" s="12" t="n">
        <v>89</v>
      </c>
      <c r="F3" s="10" t="inlineStr">
        <is>
          <t>فعلي من نون</t>
        </is>
      </c>
      <c r="G3" s="10" t="inlineStr">
        <is>
          <t>فعلي: 40–690</t>
        </is>
      </c>
      <c r="H3" s="10" t="inlineStr">
        <is>
          <t>متوسطة</t>
        </is>
      </c>
      <c r="I3" s="10" t="inlineStr">
        <is>
          <t>مؤكد</t>
        </is>
      </c>
      <c r="J3" s="13" t="n">
        <v>6</v>
      </c>
      <c r="K3" s="11" t="inlineStr">
        <is>
          <t>تقدير</t>
        </is>
      </c>
      <c r="L3" s="14" t="n">
        <v>0.15</v>
      </c>
      <c r="M3" s="10" t="inlineStr">
        <is>
          <t>صغير</t>
        </is>
      </c>
      <c r="N3" s="11" t="inlineStr">
        <is>
          <t>طوال السنة</t>
        </is>
      </c>
      <c r="O3" s="11" t="inlineStr">
        <is>
          <t>SABER</t>
        </is>
      </c>
      <c r="P3" s="15" t="n">
        <v>0.06</v>
      </c>
      <c r="Q3" s="14" t="n">
        <v>9</v>
      </c>
      <c r="R3" s="14" t="n">
        <v>50</v>
      </c>
      <c r="S3" s="16">
        <f>J3*'الافتراضات'!$B$2*(1+'الافتراضات'!$B$3)</f>
        <v/>
      </c>
      <c r="T3" s="16">
        <f>L3*'الافتراضات'!$B$4</f>
        <v/>
      </c>
      <c r="U3" s="16">
        <f>(S3+T3)*'الافتراضات'!$B$5</f>
        <v/>
      </c>
      <c r="V3" s="16">
        <f>S3+T3+U3</f>
        <v/>
      </c>
      <c r="W3" s="16">
        <f>MAX(1,E3*P3)</f>
        <v/>
      </c>
      <c r="X3" s="16">
        <f>E3*'الافتراضات'!$B$7</f>
        <v/>
      </c>
      <c r="Y3" s="16">
        <f>E3*'الافتراضات'!$B$8</f>
        <v/>
      </c>
      <c r="Z3" s="16">
        <f>E3/(1+'الافتراضات'!$B$6)</f>
        <v/>
      </c>
      <c r="AA3" s="16">
        <f>Z3-V3-W3-Q3-X3-Y3</f>
        <v/>
      </c>
      <c r="AB3" s="17">
        <f>IF(Z3=0,0,AA3/Z3)</f>
        <v/>
      </c>
      <c r="AC3" s="17">
        <f>IF(V3=0,0,AA3/V3)</f>
        <v/>
      </c>
      <c r="AD3" s="18">
        <f>R3*V3</f>
        <v/>
      </c>
      <c r="AE3" s="16">
        <f>IF(AB3&gt;='الافتراضات'!$B$9,IF(O3="لا","ابدأ به","جيد – يحتاج شهادة"),IF(AB3&gt;='الافتراضات'!$B$10,"مقبول","ضعيف"))</f>
        <v/>
      </c>
      <c r="AF3" s="16">
        <f>IF((1-'الافتراضات'!$B$9)/(1+'الافتراضات'!$B$6)-P3-'الافتراضات'!$B$7-'الافتراضات'!$B$8&lt;=0,0,(V3+Q3)/((1-'الافتراضات'!$B$9)/(1+'الافتراضات'!$B$6)-P3-'الافتراضات'!$B$7-'الافتراضات'!$B$8))</f>
        <v/>
      </c>
    </row>
    <row r="4">
      <c r="A4" s="10" t="n">
        <v>3</v>
      </c>
      <c r="B4" s="11" t="inlineStr">
        <is>
          <t>إكسسوارات الجوال والإلكترونيات</t>
        </is>
      </c>
      <c r="C4" s="11" t="inlineStr">
        <is>
          <t>كيبل USB-C بقوة 100 واط مضفّر 2 متر</t>
        </is>
      </c>
      <c r="D4" s="11" t="inlineStr">
        <is>
          <t>braided USB-C cable 100W 2m</t>
        </is>
      </c>
      <c r="E4" s="12" t="n">
        <v>49</v>
      </c>
      <c r="F4" s="10" t="inlineStr">
        <is>
          <t>فعلي من نون</t>
        </is>
      </c>
      <c r="G4" s="10" t="inlineStr">
        <is>
          <t>فعلي: 25–79</t>
        </is>
      </c>
      <c r="H4" s="10" t="inlineStr">
        <is>
          <t>عالية</t>
        </is>
      </c>
      <c r="I4" s="10" t="inlineStr">
        <is>
          <t>مؤكد</t>
        </is>
      </c>
      <c r="J4" s="13" t="n">
        <v>0.99</v>
      </c>
      <c r="K4" s="11" t="inlineStr">
        <is>
          <t>سعر مصانع فعلي (10 قائمة)</t>
        </is>
      </c>
      <c r="L4" s="14" t="n">
        <v>0.08</v>
      </c>
      <c r="M4" s="10" t="inlineStr">
        <is>
          <t>صغير</t>
        </is>
      </c>
      <c r="N4" s="11" t="inlineStr">
        <is>
          <t>طوال السنة</t>
        </is>
      </c>
      <c r="O4" s="11" t="inlineStr">
        <is>
          <t>SABER</t>
        </is>
      </c>
      <c r="P4" s="15" t="n">
        <v>0.2</v>
      </c>
      <c r="Q4" s="14" t="n">
        <v>8</v>
      </c>
      <c r="R4" s="14" t="n">
        <v>50</v>
      </c>
      <c r="S4" s="16">
        <f>J4*'الافتراضات'!$B$2*(1+'الافتراضات'!$B$3)</f>
        <v/>
      </c>
      <c r="T4" s="16">
        <f>L4*'الافتراضات'!$B$4</f>
        <v/>
      </c>
      <c r="U4" s="16">
        <f>(S4+T4)*'الافتراضات'!$B$5</f>
        <v/>
      </c>
      <c r="V4" s="16">
        <f>S4+T4+U4</f>
        <v/>
      </c>
      <c r="W4" s="16">
        <f>MAX(1,E4*P4)</f>
        <v/>
      </c>
      <c r="X4" s="16">
        <f>E4*'الافتراضات'!$B$7</f>
        <v/>
      </c>
      <c r="Y4" s="16">
        <f>E4*'الافتراضات'!$B$8</f>
        <v/>
      </c>
      <c r="Z4" s="16">
        <f>E4/(1+'الافتراضات'!$B$6)</f>
        <v/>
      </c>
      <c r="AA4" s="16">
        <f>Z4-V4-W4-Q4-X4-Y4</f>
        <v/>
      </c>
      <c r="AB4" s="17">
        <f>IF(Z4=0,0,AA4/Z4)</f>
        <v/>
      </c>
      <c r="AC4" s="17">
        <f>IF(V4=0,0,AA4/V4)</f>
        <v/>
      </c>
      <c r="AD4" s="18">
        <f>R4*V4</f>
        <v/>
      </c>
      <c r="AE4" s="16">
        <f>IF(AB4&gt;='الافتراضات'!$B$9,IF(O4="لا","ابدأ به","جيد – يحتاج شهادة"),IF(AB4&gt;='الافتراضات'!$B$10,"مقبول","ضعيف"))</f>
        <v/>
      </c>
      <c r="AF4" s="16">
        <f>IF((1-'الافتراضات'!$B$9)/(1+'الافتراضات'!$B$6)-P4-'الافتراضات'!$B$7-'الافتراضات'!$B$8&lt;=0,0,(V4+Q4)/((1-'الافتراضات'!$B$9)/(1+'الافتراضات'!$B$6)-P4-'الافتراضات'!$B$7-'الافتراضات'!$B$8))</f>
        <v/>
      </c>
    </row>
    <row r="5">
      <c r="A5" s="10" t="n">
        <v>4</v>
      </c>
      <c r="B5" s="11" t="inlineStr">
        <is>
          <t>إكسسوارات الجوال والإلكترونيات</t>
        </is>
      </c>
      <c r="C5" s="11" t="inlineStr">
        <is>
          <t>ترايبود صغير مرن للجوال</t>
        </is>
      </c>
      <c r="D5" s="11" t="inlineStr">
        <is>
          <t>flexible mini tripod phone</t>
        </is>
      </c>
      <c r="E5" s="12" t="n">
        <v>49</v>
      </c>
      <c r="F5" s="10" t="inlineStr">
        <is>
          <t>فعلي من نون</t>
        </is>
      </c>
      <c r="G5" s="10" t="inlineStr">
        <is>
          <t>فعلي: 12–129</t>
        </is>
      </c>
      <c r="H5" s="10" t="inlineStr">
        <is>
          <t>متوسطة</t>
        </is>
      </c>
      <c r="I5" s="10" t="inlineStr">
        <is>
          <t>مؤكد</t>
        </is>
      </c>
      <c r="J5" s="13" t="n">
        <v>1.27</v>
      </c>
      <c r="K5" s="11" t="inlineStr">
        <is>
          <t>سعر مصانع فعلي (8 قائمة)</t>
        </is>
      </c>
      <c r="L5" s="14" t="n">
        <v>0.15</v>
      </c>
      <c r="M5" s="10" t="inlineStr">
        <is>
          <t>صغير</t>
        </is>
      </c>
      <c r="N5" s="11" t="inlineStr">
        <is>
          <t>طوال السنة</t>
        </is>
      </c>
      <c r="O5" s="11" t="inlineStr">
        <is>
          <t>لا</t>
        </is>
      </c>
      <c r="P5" s="15" t="n">
        <v>0.15</v>
      </c>
      <c r="Q5" s="14" t="n">
        <v>9</v>
      </c>
      <c r="R5" s="14" t="n">
        <v>50</v>
      </c>
      <c r="S5" s="16">
        <f>J5*'الافتراضات'!$B$2*(1+'الافتراضات'!$B$3)</f>
        <v/>
      </c>
      <c r="T5" s="16">
        <f>L5*'الافتراضات'!$B$4</f>
        <v/>
      </c>
      <c r="U5" s="16">
        <f>(S5+T5)*'الافتراضات'!$B$5</f>
        <v/>
      </c>
      <c r="V5" s="16">
        <f>S5+T5+U5</f>
        <v/>
      </c>
      <c r="W5" s="16">
        <f>MAX(1,E5*P5)</f>
        <v/>
      </c>
      <c r="X5" s="16">
        <f>E5*'الافتراضات'!$B$7</f>
        <v/>
      </c>
      <c r="Y5" s="16">
        <f>E5*'الافتراضات'!$B$8</f>
        <v/>
      </c>
      <c r="Z5" s="16">
        <f>E5/(1+'الافتراضات'!$B$6)</f>
        <v/>
      </c>
      <c r="AA5" s="16">
        <f>Z5-V5-W5-Q5-X5-Y5</f>
        <v/>
      </c>
      <c r="AB5" s="17">
        <f>IF(Z5=0,0,AA5/Z5)</f>
        <v/>
      </c>
      <c r="AC5" s="17">
        <f>IF(V5=0,0,AA5/V5)</f>
        <v/>
      </c>
      <c r="AD5" s="18">
        <f>R5*V5</f>
        <v/>
      </c>
      <c r="AE5" s="16">
        <f>IF(AB5&gt;='الافتراضات'!$B$9,IF(O5="لا","ابدأ به","جيد – يحتاج شهادة"),IF(AB5&gt;='الافتراضات'!$B$10,"مقبول","ضعيف"))</f>
        <v/>
      </c>
      <c r="AF5" s="16">
        <f>IF((1-'الافتراضات'!$B$9)/(1+'الافتراضات'!$B$6)-P5-'الافتراضات'!$B$7-'الافتراضات'!$B$8&lt;=0,0,(V5+Q5)/((1-'الافتراضات'!$B$9)/(1+'الافتراضات'!$B$6)-P5-'الافتراضات'!$B$7-'الافتراضات'!$B$8))</f>
        <v/>
      </c>
    </row>
    <row r="6">
      <c r="A6" s="10" t="n">
        <v>5</v>
      </c>
      <c r="B6" s="11" t="inlineStr">
        <is>
          <t>إكسسوارات الجوال والإلكترونيات</t>
        </is>
      </c>
      <c r="C6" s="11" t="inlineStr">
        <is>
          <t>كرت ذاكرة microSD 128 جيجا</t>
        </is>
      </c>
      <c r="D6" s="11" t="inlineStr">
        <is>
          <t>microSD card 128GB</t>
        </is>
      </c>
      <c r="E6" s="12" t="n">
        <v>66</v>
      </c>
      <c r="F6" s="10" t="inlineStr">
        <is>
          <t>فعلي من نون</t>
        </is>
      </c>
      <c r="G6" s="10" t="inlineStr">
        <is>
          <t>فعلي: 54–196</t>
        </is>
      </c>
      <c r="H6" s="10" t="inlineStr">
        <is>
          <t>عالية</t>
        </is>
      </c>
      <c r="I6" s="10" t="inlineStr">
        <is>
          <t>مؤكد</t>
        </is>
      </c>
      <c r="J6" s="13" t="n">
        <v>4.8</v>
      </c>
      <c r="K6" s="11" t="inlineStr">
        <is>
          <t>تقدير</t>
        </is>
      </c>
      <c r="L6" s="14" t="n">
        <v>0.02</v>
      </c>
      <c r="M6" s="10" t="inlineStr">
        <is>
          <t>صغير</t>
        </is>
      </c>
      <c r="N6" s="11" t="inlineStr">
        <is>
          <t>طوال السنة</t>
        </is>
      </c>
      <c r="O6" s="11" t="inlineStr">
        <is>
          <t>SABER</t>
        </is>
      </c>
      <c r="P6" s="15" t="n">
        <v>0.07000000000000001</v>
      </c>
      <c r="Q6" s="14" t="n">
        <v>8</v>
      </c>
      <c r="R6" s="14" t="n">
        <v>50</v>
      </c>
      <c r="S6" s="16">
        <f>J6*'الافتراضات'!$B$2*(1+'الافتراضات'!$B$3)</f>
        <v/>
      </c>
      <c r="T6" s="16">
        <f>L6*'الافتراضات'!$B$4</f>
        <v/>
      </c>
      <c r="U6" s="16">
        <f>(S6+T6)*'الافتراضات'!$B$5</f>
        <v/>
      </c>
      <c r="V6" s="16">
        <f>S6+T6+U6</f>
        <v/>
      </c>
      <c r="W6" s="16">
        <f>MAX(1,E6*P6)</f>
        <v/>
      </c>
      <c r="X6" s="16">
        <f>E6*'الافتراضات'!$B$7</f>
        <v/>
      </c>
      <c r="Y6" s="16">
        <f>E6*'الافتراضات'!$B$8</f>
        <v/>
      </c>
      <c r="Z6" s="16">
        <f>E6/(1+'الافتراضات'!$B$6)</f>
        <v/>
      </c>
      <c r="AA6" s="16">
        <f>Z6-V6-W6-Q6-X6-Y6</f>
        <v/>
      </c>
      <c r="AB6" s="17">
        <f>IF(Z6=0,0,AA6/Z6)</f>
        <v/>
      </c>
      <c r="AC6" s="17">
        <f>IF(V6=0,0,AA6/V6)</f>
        <v/>
      </c>
      <c r="AD6" s="18">
        <f>R6*V6</f>
        <v/>
      </c>
      <c r="AE6" s="16">
        <f>IF(AB6&gt;='الافتراضات'!$B$9,IF(O6="لا","ابدأ به","جيد – يحتاج شهادة"),IF(AB6&gt;='الافتراضات'!$B$10,"مقبول","ضعيف"))</f>
        <v/>
      </c>
      <c r="AF6" s="16">
        <f>IF((1-'الافتراضات'!$B$9)/(1+'الافتراضات'!$B$6)-P6-'الافتراضات'!$B$7-'الافتراضات'!$B$8&lt;=0,0,(V6+Q6)/((1-'الافتراضات'!$B$9)/(1+'الافتراضات'!$B$6)-P6-'الافتراضات'!$B$7-'الافتراضات'!$B$8))</f>
        <v/>
      </c>
    </row>
    <row r="7">
      <c r="A7" s="10" t="n">
        <v>6</v>
      </c>
      <c r="B7" s="11" t="inlineStr">
        <is>
          <t>إكسسوارات الجوال والإلكترونيات</t>
        </is>
      </c>
      <c r="C7" s="11" t="inlineStr">
        <is>
          <t>ميكروفون كوندنسر USB للبث</t>
        </is>
      </c>
      <c r="D7" s="11" t="inlineStr">
        <is>
          <t>USB condenser microphone streaming</t>
        </is>
      </c>
      <c r="E7" s="12" t="n">
        <v>119</v>
      </c>
      <c r="F7" s="10" t="inlineStr">
        <is>
          <t>فعلي من نون</t>
        </is>
      </c>
      <c r="G7" s="10" t="inlineStr">
        <is>
          <t>فعلي: 65–360</t>
        </is>
      </c>
      <c r="H7" s="10" t="inlineStr">
        <is>
          <t>متوسطة</t>
        </is>
      </c>
      <c r="I7" s="10" t="inlineStr">
        <is>
          <t>مؤكد</t>
        </is>
      </c>
      <c r="J7" s="13" t="n">
        <v>5.75</v>
      </c>
      <c r="K7" s="11" t="inlineStr">
        <is>
          <t>سعر مصانع فعلي (10 قائمة)</t>
        </is>
      </c>
      <c r="L7" s="14" t="n">
        <v>0.9</v>
      </c>
      <c r="M7" s="10" t="inlineStr">
        <is>
          <t>متوسط</t>
        </is>
      </c>
      <c r="N7" s="11" t="inlineStr">
        <is>
          <t>طوال السنة</t>
        </is>
      </c>
      <c r="O7" s="11" t="inlineStr">
        <is>
          <t>SABER</t>
        </is>
      </c>
      <c r="P7" s="15" t="n">
        <v>0.15</v>
      </c>
      <c r="Q7" s="14" t="n">
        <v>10</v>
      </c>
      <c r="R7" s="14" t="n">
        <v>50</v>
      </c>
      <c r="S7" s="16">
        <f>J7*'الافتراضات'!$B$2*(1+'الافتراضات'!$B$3)</f>
        <v/>
      </c>
      <c r="T7" s="16">
        <f>L7*'الافتراضات'!$B$4</f>
        <v/>
      </c>
      <c r="U7" s="16">
        <f>(S7+T7)*'الافتراضات'!$B$5</f>
        <v/>
      </c>
      <c r="V7" s="16">
        <f>S7+T7+U7</f>
        <v/>
      </c>
      <c r="W7" s="16">
        <f>MAX(1,E7*P7)</f>
        <v/>
      </c>
      <c r="X7" s="16">
        <f>E7*'الافتراضات'!$B$7</f>
        <v/>
      </c>
      <c r="Y7" s="16">
        <f>E7*'الافتراضات'!$B$8</f>
        <v/>
      </c>
      <c r="Z7" s="16">
        <f>E7/(1+'الافتراضات'!$B$6)</f>
        <v/>
      </c>
      <c r="AA7" s="16">
        <f>Z7-V7-W7-Q7-X7-Y7</f>
        <v/>
      </c>
      <c r="AB7" s="17">
        <f>IF(Z7=0,0,AA7/Z7)</f>
        <v/>
      </c>
      <c r="AC7" s="17">
        <f>IF(V7=0,0,AA7/V7)</f>
        <v/>
      </c>
      <c r="AD7" s="18">
        <f>R7*V7</f>
        <v/>
      </c>
      <c r="AE7" s="16">
        <f>IF(AB7&gt;='الافتراضات'!$B$9,IF(O7="لا","ابدأ به","جيد – يحتاج شهادة"),IF(AB7&gt;='الافتراضات'!$B$10,"مقبول","ضعيف"))</f>
        <v/>
      </c>
      <c r="AF7" s="16">
        <f>IF((1-'الافتراضات'!$B$9)/(1+'الافتراضات'!$B$6)-P7-'الافتراضات'!$B$7-'الافتراضات'!$B$8&lt;=0,0,(V7+Q7)/((1-'الافتراضات'!$B$9)/(1+'الافتراضات'!$B$6)-P7-'الافتراضات'!$B$7-'الافتراضات'!$B$8))</f>
        <v/>
      </c>
    </row>
    <row r="8">
      <c r="A8" s="10" t="n">
        <v>7</v>
      </c>
      <c r="B8" s="11" t="inlineStr">
        <is>
          <t>إكسسوارات الجوال والإلكترونيات</t>
        </is>
      </c>
      <c r="C8" s="11" t="inlineStr">
        <is>
          <t>فلاش ميموري 64 جيجا معدن</t>
        </is>
      </c>
      <c r="D8" s="11" t="inlineStr">
        <is>
          <t>USB flash drive 64GB metal</t>
        </is>
      </c>
      <c r="E8" s="12" t="n">
        <v>57</v>
      </c>
      <c r="F8" s="10" t="inlineStr">
        <is>
          <t>فعلي من نون</t>
        </is>
      </c>
      <c r="G8" s="10" t="inlineStr">
        <is>
          <t>فعلي: 45–490</t>
        </is>
      </c>
      <c r="H8" s="10" t="inlineStr">
        <is>
          <t>عالية</t>
        </is>
      </c>
      <c r="I8" s="10" t="inlineStr">
        <is>
          <t>مؤكد</t>
        </is>
      </c>
      <c r="J8" s="13" t="n">
        <v>2.8</v>
      </c>
      <c r="K8" s="11" t="inlineStr">
        <is>
          <t>تقدير</t>
        </is>
      </c>
      <c r="L8" s="14" t="n">
        <v>0.03</v>
      </c>
      <c r="M8" s="10" t="inlineStr">
        <is>
          <t>صغير</t>
        </is>
      </c>
      <c r="N8" s="11" t="inlineStr">
        <is>
          <t>طوال السنة</t>
        </is>
      </c>
      <c r="O8" s="11" t="inlineStr">
        <is>
          <t>SABER</t>
        </is>
      </c>
      <c r="P8" s="15" t="n">
        <v>0.15</v>
      </c>
      <c r="Q8" s="14" t="n">
        <v>8</v>
      </c>
      <c r="R8" s="14" t="n">
        <v>50</v>
      </c>
      <c r="S8" s="16">
        <f>J8*'الافتراضات'!$B$2*(1+'الافتراضات'!$B$3)</f>
        <v/>
      </c>
      <c r="T8" s="16">
        <f>L8*'الافتراضات'!$B$4</f>
        <v/>
      </c>
      <c r="U8" s="16">
        <f>(S8+T8)*'الافتراضات'!$B$5</f>
        <v/>
      </c>
      <c r="V8" s="16">
        <f>S8+T8+U8</f>
        <v/>
      </c>
      <c r="W8" s="16">
        <f>MAX(1,E8*P8)</f>
        <v/>
      </c>
      <c r="X8" s="16">
        <f>E8*'الافتراضات'!$B$7</f>
        <v/>
      </c>
      <c r="Y8" s="16">
        <f>E8*'الافتراضات'!$B$8</f>
        <v/>
      </c>
      <c r="Z8" s="16">
        <f>E8/(1+'الافتراضات'!$B$6)</f>
        <v/>
      </c>
      <c r="AA8" s="16">
        <f>Z8-V8-W8-Q8-X8-Y8</f>
        <v/>
      </c>
      <c r="AB8" s="17">
        <f>IF(Z8=0,0,AA8/Z8)</f>
        <v/>
      </c>
      <c r="AC8" s="17">
        <f>IF(V8=0,0,AA8/V8)</f>
        <v/>
      </c>
      <c r="AD8" s="18">
        <f>R8*V8</f>
        <v/>
      </c>
      <c r="AE8" s="16">
        <f>IF(AB8&gt;='الافتراضات'!$B$9,IF(O8="لا","ابدأ به","جيد – يحتاج شهادة"),IF(AB8&gt;='الافتراضات'!$B$10,"مقبول","ضعيف"))</f>
        <v/>
      </c>
      <c r="AF8" s="16">
        <f>IF((1-'الافتراضات'!$B$9)/(1+'الافتراضات'!$B$6)-P8-'الافتراضات'!$B$7-'الافتراضات'!$B$8&lt;=0,0,(V8+Q8)/((1-'الافتراضات'!$B$9)/(1+'الافتراضات'!$B$6)-P8-'الافتراضات'!$B$7-'الافتراضات'!$B$8))</f>
        <v/>
      </c>
    </row>
    <row r="9">
      <c r="A9" s="10" t="n">
        <v>8</v>
      </c>
      <c r="B9" s="11" t="inlineStr">
        <is>
          <t>إكسسوارات الجوال والإلكترونيات</t>
        </is>
      </c>
      <c r="C9" s="11" t="inlineStr">
        <is>
          <t>شاحن جداري سريع 20 واط PD</t>
        </is>
      </c>
      <c r="D9" s="11" t="inlineStr">
        <is>
          <t>20W PD fast charger</t>
        </is>
      </c>
      <c r="E9" s="12" t="n">
        <v>49</v>
      </c>
      <c r="F9" s="10" t="inlineStr">
        <is>
          <t>فعلي من نون</t>
        </is>
      </c>
      <c r="G9" s="10" t="inlineStr">
        <is>
          <t>فعلي: 30–77</t>
        </is>
      </c>
      <c r="H9" s="10" t="inlineStr">
        <is>
          <t>عالية</t>
        </is>
      </c>
      <c r="I9" s="10" t="inlineStr">
        <is>
          <t>مؤكد</t>
        </is>
      </c>
      <c r="J9" s="13" t="n">
        <v>1.49</v>
      </c>
      <c r="K9" s="11" t="inlineStr">
        <is>
          <t>سعر مصانع فعلي (9 قائمة)</t>
        </is>
      </c>
      <c r="L9" s="14" t="n">
        <v>0.1</v>
      </c>
      <c r="M9" s="10" t="inlineStr">
        <is>
          <t>صغير</t>
        </is>
      </c>
      <c r="N9" s="11" t="inlineStr">
        <is>
          <t>طوال السنة</t>
        </is>
      </c>
      <c r="O9" s="11" t="inlineStr">
        <is>
          <t>SABER</t>
        </is>
      </c>
      <c r="P9" s="15" t="n">
        <v>0.2</v>
      </c>
      <c r="Q9" s="14" t="n">
        <v>8</v>
      </c>
      <c r="R9" s="14" t="n">
        <v>50</v>
      </c>
      <c r="S9" s="16">
        <f>J9*'الافتراضات'!$B$2*(1+'الافتراضات'!$B$3)</f>
        <v/>
      </c>
      <c r="T9" s="16">
        <f>L9*'الافتراضات'!$B$4</f>
        <v/>
      </c>
      <c r="U9" s="16">
        <f>(S9+T9)*'الافتراضات'!$B$5</f>
        <v/>
      </c>
      <c r="V9" s="16">
        <f>S9+T9+U9</f>
        <v/>
      </c>
      <c r="W9" s="16">
        <f>MAX(1,E9*P9)</f>
        <v/>
      </c>
      <c r="X9" s="16">
        <f>E9*'الافتراضات'!$B$7</f>
        <v/>
      </c>
      <c r="Y9" s="16">
        <f>E9*'الافتراضات'!$B$8</f>
        <v/>
      </c>
      <c r="Z9" s="16">
        <f>E9/(1+'الافتراضات'!$B$6)</f>
        <v/>
      </c>
      <c r="AA9" s="16">
        <f>Z9-V9-W9-Q9-X9-Y9</f>
        <v/>
      </c>
      <c r="AB9" s="17">
        <f>IF(Z9=0,0,AA9/Z9)</f>
        <v/>
      </c>
      <c r="AC9" s="17">
        <f>IF(V9=0,0,AA9/V9)</f>
        <v/>
      </c>
      <c r="AD9" s="18">
        <f>R9*V9</f>
        <v/>
      </c>
      <c r="AE9" s="16">
        <f>IF(AB9&gt;='الافتراضات'!$B$9,IF(O9="لا","ابدأ به","جيد – يحتاج شهادة"),IF(AB9&gt;='الافتراضات'!$B$10,"مقبول","ضعيف"))</f>
        <v/>
      </c>
      <c r="AF9" s="16">
        <f>IF((1-'الافتراضات'!$B$9)/(1+'الافتراضات'!$B$6)-P9-'الافتراضات'!$B$7-'الافتراضات'!$B$8&lt;=0,0,(V9+Q9)/((1-'الافتراضات'!$B$9)/(1+'الافتراضات'!$B$6)-P9-'الافتراضات'!$B$7-'الافتراضات'!$B$8))</f>
        <v/>
      </c>
    </row>
    <row r="10">
      <c r="A10" s="10" t="n">
        <v>9</v>
      </c>
      <c r="B10" s="11" t="inlineStr">
        <is>
          <t>إكسسوارات الجوال والإلكترونيات</t>
        </is>
      </c>
      <c r="C10" s="11" t="inlineStr">
        <is>
          <t>عصا سيلفي بلوتوث قابلة للطي</t>
        </is>
      </c>
      <c r="D10" s="11" t="inlineStr">
        <is>
          <t>selfie stick bluetooth foldable</t>
        </is>
      </c>
      <c r="E10" s="12" t="n">
        <v>54</v>
      </c>
      <c r="F10" s="10" t="inlineStr">
        <is>
          <t>فعلي من نون</t>
        </is>
      </c>
      <c r="G10" s="10" t="inlineStr">
        <is>
          <t>فعلي: 22–149</t>
        </is>
      </c>
      <c r="H10" s="10" t="inlineStr">
        <is>
          <t>متوسطة</t>
        </is>
      </c>
      <c r="I10" s="10" t="inlineStr">
        <is>
          <t>مؤكد</t>
        </is>
      </c>
      <c r="J10" s="13" t="n">
        <v>2.2</v>
      </c>
      <c r="K10" s="11" t="inlineStr">
        <is>
          <t>تقدير</t>
        </is>
      </c>
      <c r="L10" s="14" t="n">
        <v>0.2</v>
      </c>
      <c r="M10" s="10" t="inlineStr">
        <is>
          <t>صغير</t>
        </is>
      </c>
      <c r="N10" s="11" t="inlineStr">
        <is>
          <t>طوال السنة</t>
        </is>
      </c>
      <c r="O10" s="11" t="inlineStr">
        <is>
          <t>SABER + بطارية ليثيوم</t>
        </is>
      </c>
      <c r="P10" s="15" t="n">
        <v>0.15</v>
      </c>
      <c r="Q10" s="14" t="n">
        <v>9</v>
      </c>
      <c r="R10" s="14" t="n">
        <v>50</v>
      </c>
      <c r="S10" s="16">
        <f>J10*'الافتراضات'!$B$2*(1+'الافتراضات'!$B$3)</f>
        <v/>
      </c>
      <c r="T10" s="16">
        <f>L10*'الافتراضات'!$B$4</f>
        <v/>
      </c>
      <c r="U10" s="16">
        <f>(S10+T10)*'الافتراضات'!$B$5</f>
        <v/>
      </c>
      <c r="V10" s="16">
        <f>S10+T10+U10</f>
        <v/>
      </c>
      <c r="W10" s="16">
        <f>MAX(1,E10*P10)</f>
        <v/>
      </c>
      <c r="X10" s="16">
        <f>E10*'الافتراضات'!$B$7</f>
        <v/>
      </c>
      <c r="Y10" s="16">
        <f>E10*'الافتراضات'!$B$8</f>
        <v/>
      </c>
      <c r="Z10" s="16">
        <f>E10/(1+'الافتراضات'!$B$6)</f>
        <v/>
      </c>
      <c r="AA10" s="16">
        <f>Z10-V10-W10-Q10-X10-Y10</f>
        <v/>
      </c>
      <c r="AB10" s="17">
        <f>IF(Z10=0,0,AA10/Z10)</f>
        <v/>
      </c>
      <c r="AC10" s="17">
        <f>IF(V10=0,0,AA10/V10)</f>
        <v/>
      </c>
      <c r="AD10" s="18">
        <f>R10*V10</f>
        <v/>
      </c>
      <c r="AE10" s="16">
        <f>IF(AB10&gt;='الافتراضات'!$B$9,IF(O10="لا","ابدأ به","جيد – يحتاج شهادة"),IF(AB10&gt;='الافتراضات'!$B$10,"مقبول","ضعيف"))</f>
        <v/>
      </c>
      <c r="AF10" s="16">
        <f>IF((1-'الافتراضات'!$B$9)/(1+'الافتراضات'!$B$6)-P10-'الافتراضات'!$B$7-'الافتراضات'!$B$8&lt;=0,0,(V10+Q10)/((1-'الافتراضات'!$B$9)/(1+'الافتراضات'!$B$6)-P10-'الافتراضات'!$B$7-'الافتراضات'!$B$8))</f>
        <v/>
      </c>
    </row>
    <row r="11">
      <c r="A11" s="10" t="n">
        <v>10</v>
      </c>
      <c r="B11" s="11" t="inlineStr">
        <is>
          <t>إكسسوارات الجوال والإلكترونيات</t>
        </is>
      </c>
      <c r="C11" s="11" t="inlineStr">
        <is>
          <t>شاحن GaN بقوة 100 واط أربعة منافذ</t>
        </is>
      </c>
      <c r="D11" s="11" t="inlineStr">
        <is>
          <t>100W GaN charger 4 port</t>
        </is>
      </c>
      <c r="E11" s="12" t="n">
        <v>158</v>
      </c>
      <c r="F11" s="10" t="inlineStr">
        <is>
          <t>فعلي من نون</t>
        </is>
      </c>
      <c r="G11" s="10" t="inlineStr">
        <is>
          <t>فعلي: 86–329</t>
        </is>
      </c>
      <c r="H11" s="10" t="inlineStr">
        <is>
          <t>عالية</t>
        </is>
      </c>
      <c r="I11" s="10" t="inlineStr">
        <is>
          <t>مؤكد</t>
        </is>
      </c>
      <c r="J11" s="13" t="n">
        <v>11</v>
      </c>
      <c r="K11" s="11" t="inlineStr">
        <is>
          <t>سعر مصانع فعلي (9 قائمة)</t>
        </is>
      </c>
      <c r="L11" s="14" t="n">
        <v>0.35</v>
      </c>
      <c r="M11" s="10" t="inlineStr">
        <is>
          <t>صغير</t>
        </is>
      </c>
      <c r="N11" s="11" t="inlineStr">
        <is>
          <t>طوال السنة</t>
        </is>
      </c>
      <c r="O11" s="11" t="inlineStr">
        <is>
          <t>SABER</t>
        </is>
      </c>
      <c r="P11" s="15" t="n">
        <v>0.15</v>
      </c>
      <c r="Q11" s="14" t="n">
        <v>9.5</v>
      </c>
      <c r="R11" s="14" t="n">
        <v>50</v>
      </c>
      <c r="S11" s="16">
        <f>J11*'الافتراضات'!$B$2*(1+'الافتراضات'!$B$3)</f>
        <v/>
      </c>
      <c r="T11" s="16">
        <f>L11*'الافتراضات'!$B$4</f>
        <v/>
      </c>
      <c r="U11" s="16">
        <f>(S11+T11)*'الافتراضات'!$B$5</f>
        <v/>
      </c>
      <c r="V11" s="16">
        <f>S11+T11+U11</f>
        <v/>
      </c>
      <c r="W11" s="16">
        <f>MAX(1,E11*P11)</f>
        <v/>
      </c>
      <c r="X11" s="16">
        <f>E11*'الافتراضات'!$B$7</f>
        <v/>
      </c>
      <c r="Y11" s="16">
        <f>E11*'الافتراضات'!$B$8</f>
        <v/>
      </c>
      <c r="Z11" s="16">
        <f>E11/(1+'الافتراضات'!$B$6)</f>
        <v/>
      </c>
      <c r="AA11" s="16">
        <f>Z11-V11-W11-Q11-X11-Y11</f>
        <v/>
      </c>
      <c r="AB11" s="17">
        <f>IF(Z11=0,0,AA11/Z11)</f>
        <v/>
      </c>
      <c r="AC11" s="17">
        <f>IF(V11=0,0,AA11/V11)</f>
        <v/>
      </c>
      <c r="AD11" s="18">
        <f>R11*V11</f>
        <v/>
      </c>
      <c r="AE11" s="16">
        <f>IF(AB11&gt;='الافتراضات'!$B$9,IF(O11="لا","ابدأ به","جيد – يحتاج شهادة"),IF(AB11&gt;='الافتراضات'!$B$10,"مقبول","ضعيف"))</f>
        <v/>
      </c>
      <c r="AF11" s="16">
        <f>IF((1-'الافتراضات'!$B$9)/(1+'الافتراضات'!$B$6)-P11-'الافتراضات'!$B$7-'الافتراضات'!$B$8&lt;=0,0,(V11+Q11)/((1-'الافتراضات'!$B$9)/(1+'الافتراضات'!$B$6)-P11-'الافتراضات'!$B$7-'الافتراضات'!$B$8))</f>
        <v/>
      </c>
    </row>
    <row r="12">
      <c r="A12" s="10" t="n">
        <v>11</v>
      </c>
      <c r="B12" s="11" t="inlineStr">
        <is>
          <t>إكسسوارات الجوال والإلكترونيات</t>
        </is>
      </c>
      <c r="C12" s="11" t="inlineStr">
        <is>
          <t>فلاش ميموري USB-C مزدوج 128 جيجا</t>
        </is>
      </c>
      <c r="D12" s="11" t="inlineStr">
        <is>
          <t>dual USB-C flash drive 128GB</t>
        </is>
      </c>
      <c r="E12" s="12" t="n">
        <v>72</v>
      </c>
      <c r="F12" s="10" t="inlineStr">
        <is>
          <t>فعلي من نون</t>
        </is>
      </c>
      <c r="G12" s="10" t="inlineStr">
        <is>
          <t>فعلي: 56–298</t>
        </is>
      </c>
      <c r="H12" s="10" t="inlineStr">
        <is>
          <t>عالية</t>
        </is>
      </c>
      <c r="I12" s="10" t="inlineStr">
        <is>
          <t>مؤكد</t>
        </is>
      </c>
      <c r="J12" s="13" t="n">
        <v>4.5</v>
      </c>
      <c r="K12" s="11" t="inlineStr">
        <is>
          <t>تقدير</t>
        </is>
      </c>
      <c r="L12" s="14" t="n">
        <v>0.03</v>
      </c>
      <c r="M12" s="10" t="inlineStr">
        <is>
          <t>صغير</t>
        </is>
      </c>
      <c r="N12" s="11" t="inlineStr">
        <is>
          <t>طوال السنة</t>
        </is>
      </c>
      <c r="O12" s="11" t="inlineStr">
        <is>
          <t>SABER</t>
        </is>
      </c>
      <c r="P12" s="15" t="n">
        <v>0.15</v>
      </c>
      <c r="Q12" s="14" t="n">
        <v>8</v>
      </c>
      <c r="R12" s="14" t="n">
        <v>50</v>
      </c>
      <c r="S12" s="16">
        <f>J12*'الافتراضات'!$B$2*(1+'الافتراضات'!$B$3)</f>
        <v/>
      </c>
      <c r="T12" s="16">
        <f>L12*'الافتراضات'!$B$4</f>
        <v/>
      </c>
      <c r="U12" s="16">
        <f>(S12+T12)*'الافتراضات'!$B$5</f>
        <v/>
      </c>
      <c r="V12" s="16">
        <f>S12+T12+U12</f>
        <v/>
      </c>
      <c r="W12" s="16">
        <f>MAX(1,E12*P12)</f>
        <v/>
      </c>
      <c r="X12" s="16">
        <f>E12*'الافتراضات'!$B$7</f>
        <v/>
      </c>
      <c r="Y12" s="16">
        <f>E12*'الافتراضات'!$B$8</f>
        <v/>
      </c>
      <c r="Z12" s="16">
        <f>E12/(1+'الافتراضات'!$B$6)</f>
        <v/>
      </c>
      <c r="AA12" s="16">
        <f>Z12-V12-W12-Q12-X12-Y12</f>
        <v/>
      </c>
      <c r="AB12" s="17">
        <f>IF(Z12=0,0,AA12/Z12)</f>
        <v/>
      </c>
      <c r="AC12" s="17">
        <f>IF(V12=0,0,AA12/V12)</f>
        <v/>
      </c>
      <c r="AD12" s="18">
        <f>R12*V12</f>
        <v/>
      </c>
      <c r="AE12" s="16">
        <f>IF(AB12&gt;='الافتراضات'!$B$9,IF(O12="لا","ابدأ به","جيد – يحتاج شهادة"),IF(AB12&gt;='الافتراضات'!$B$10,"مقبول","ضعيف"))</f>
        <v/>
      </c>
      <c r="AF12" s="16">
        <f>IF((1-'الافتراضات'!$B$9)/(1+'الافتراضات'!$B$6)-P12-'الافتراضات'!$B$7-'الافتراضات'!$B$8&lt;=0,0,(V12+Q12)/((1-'الافتراضات'!$B$9)/(1+'الافتراضات'!$B$6)-P12-'الافتراضات'!$B$7-'الافتراضات'!$B$8))</f>
        <v/>
      </c>
    </row>
    <row r="13">
      <c r="A13" s="10" t="n">
        <v>12</v>
      </c>
      <c r="B13" s="11" t="inlineStr">
        <is>
          <t>إكسسوارات الجوال والإلكترونيات</t>
        </is>
      </c>
      <c r="C13" s="11" t="inlineStr">
        <is>
          <t>محطة شحن 6 منافذ USB للمكتب</t>
        </is>
      </c>
      <c r="D13" s="11" t="inlineStr">
        <is>
          <t>6 port USB charging station</t>
        </is>
      </c>
      <c r="E13" s="12" t="n">
        <v>83</v>
      </c>
      <c r="F13" s="10" t="inlineStr">
        <is>
          <t>فعلي من نون</t>
        </is>
      </c>
      <c r="G13" s="10" t="inlineStr">
        <is>
          <t>فعلي: 30–329</t>
        </is>
      </c>
      <c r="H13" s="10" t="inlineStr">
        <is>
          <t>عالية</t>
        </is>
      </c>
      <c r="I13" s="10" t="inlineStr">
        <is>
          <t>مؤكد</t>
        </is>
      </c>
      <c r="J13" s="13" t="n">
        <v>4.5</v>
      </c>
      <c r="K13" s="11" t="inlineStr">
        <is>
          <t>تقدير</t>
        </is>
      </c>
      <c r="L13" s="14" t="n">
        <v>0.35</v>
      </c>
      <c r="M13" s="10" t="inlineStr">
        <is>
          <t>متوسط</t>
        </is>
      </c>
      <c r="N13" s="11" t="inlineStr">
        <is>
          <t>طوال السنة</t>
        </is>
      </c>
      <c r="O13" s="11" t="inlineStr">
        <is>
          <t>SABER</t>
        </is>
      </c>
      <c r="P13" s="15" t="n">
        <v>0.15</v>
      </c>
      <c r="Q13" s="14" t="n">
        <v>9.5</v>
      </c>
      <c r="R13" s="14" t="n">
        <v>50</v>
      </c>
      <c r="S13" s="16">
        <f>J13*'الافتراضات'!$B$2*(1+'الافتراضات'!$B$3)</f>
        <v/>
      </c>
      <c r="T13" s="16">
        <f>L13*'الافتراضات'!$B$4</f>
        <v/>
      </c>
      <c r="U13" s="16">
        <f>(S13+T13)*'الافتراضات'!$B$5</f>
        <v/>
      </c>
      <c r="V13" s="16">
        <f>S13+T13+U13</f>
        <v/>
      </c>
      <c r="W13" s="16">
        <f>MAX(1,E13*P13)</f>
        <v/>
      </c>
      <c r="X13" s="16">
        <f>E13*'الافتراضات'!$B$7</f>
        <v/>
      </c>
      <c r="Y13" s="16">
        <f>E13*'الافتراضات'!$B$8</f>
        <v/>
      </c>
      <c r="Z13" s="16">
        <f>E13/(1+'الافتراضات'!$B$6)</f>
        <v/>
      </c>
      <c r="AA13" s="16">
        <f>Z13-V13-W13-Q13-X13-Y13</f>
        <v/>
      </c>
      <c r="AB13" s="17">
        <f>IF(Z13=0,0,AA13/Z13)</f>
        <v/>
      </c>
      <c r="AC13" s="17">
        <f>IF(V13=0,0,AA13/V13)</f>
        <v/>
      </c>
      <c r="AD13" s="18">
        <f>R13*V13</f>
        <v/>
      </c>
      <c r="AE13" s="16">
        <f>IF(AB13&gt;='الافتراضات'!$B$9,IF(O13="لا","ابدأ به","جيد – يحتاج شهادة"),IF(AB13&gt;='الافتراضات'!$B$10,"مقبول","ضعيف"))</f>
        <v/>
      </c>
      <c r="AF13" s="16">
        <f>IF((1-'الافتراضات'!$B$9)/(1+'الافتراضات'!$B$6)-P13-'الافتراضات'!$B$7-'الافتراضات'!$B$8&lt;=0,0,(V13+Q13)/((1-'الافتراضات'!$B$9)/(1+'الافتراضات'!$B$6)-P13-'الافتراضات'!$B$7-'الافتراضات'!$B$8))</f>
        <v/>
      </c>
    </row>
    <row r="14">
      <c r="A14" s="10" t="n">
        <v>13</v>
      </c>
      <c r="B14" s="11" t="inlineStr">
        <is>
          <t>إكسسوارات الجوال والإلكترونيات</t>
        </is>
      </c>
      <c r="C14" s="11" t="inlineStr">
        <is>
          <t>كيبل لايتنينج مضفّر 2 متر</t>
        </is>
      </c>
      <c r="D14" s="11" t="inlineStr">
        <is>
          <t>lightning cable braided 2m</t>
        </is>
      </c>
      <c r="E14" s="12" t="n">
        <v>38</v>
      </c>
      <c r="F14" s="10" t="inlineStr">
        <is>
          <t>فعلي من نون</t>
        </is>
      </c>
      <c r="G14" s="10" t="inlineStr">
        <is>
          <t>فعلي: 29–224</t>
        </is>
      </c>
      <c r="H14" s="10" t="inlineStr">
        <is>
          <t>عالية</t>
        </is>
      </c>
      <c r="I14" s="10" t="inlineStr">
        <is>
          <t>مؤكد</t>
        </is>
      </c>
      <c r="J14" s="13" t="n">
        <v>1</v>
      </c>
      <c r="K14" s="11" t="inlineStr">
        <is>
          <t>تقدير</t>
        </is>
      </c>
      <c r="L14" s="14" t="n">
        <v>0.08</v>
      </c>
      <c r="M14" s="10" t="inlineStr">
        <is>
          <t>صغير</t>
        </is>
      </c>
      <c r="N14" s="11" t="inlineStr">
        <is>
          <t>طوال السنة</t>
        </is>
      </c>
      <c r="O14" s="11" t="inlineStr">
        <is>
          <t>SABER</t>
        </is>
      </c>
      <c r="P14" s="15" t="n">
        <v>0.2</v>
      </c>
      <c r="Q14" s="14" t="n">
        <v>8</v>
      </c>
      <c r="R14" s="14" t="n">
        <v>50</v>
      </c>
      <c r="S14" s="16">
        <f>J14*'الافتراضات'!$B$2*(1+'الافتراضات'!$B$3)</f>
        <v/>
      </c>
      <c r="T14" s="16">
        <f>L14*'الافتراضات'!$B$4</f>
        <v/>
      </c>
      <c r="U14" s="16">
        <f>(S14+T14)*'الافتراضات'!$B$5</f>
        <v/>
      </c>
      <c r="V14" s="16">
        <f>S14+T14+U14</f>
        <v/>
      </c>
      <c r="W14" s="16">
        <f>MAX(1,E14*P14)</f>
        <v/>
      </c>
      <c r="X14" s="16">
        <f>E14*'الافتراضات'!$B$7</f>
        <v/>
      </c>
      <c r="Y14" s="16">
        <f>E14*'الافتراضات'!$B$8</f>
        <v/>
      </c>
      <c r="Z14" s="16">
        <f>E14/(1+'الافتراضات'!$B$6)</f>
        <v/>
      </c>
      <c r="AA14" s="16">
        <f>Z14-V14-W14-Q14-X14-Y14</f>
        <v/>
      </c>
      <c r="AB14" s="17">
        <f>IF(Z14=0,0,AA14/Z14)</f>
        <v/>
      </c>
      <c r="AC14" s="17">
        <f>IF(V14=0,0,AA14/V14)</f>
        <v/>
      </c>
      <c r="AD14" s="18">
        <f>R14*V14</f>
        <v/>
      </c>
      <c r="AE14" s="16">
        <f>IF(AB14&gt;='الافتراضات'!$B$9,IF(O14="لا","ابدأ به","جيد – يحتاج شهادة"),IF(AB14&gt;='الافتراضات'!$B$10,"مقبول","ضعيف"))</f>
        <v/>
      </c>
      <c r="AF14" s="16">
        <f>IF((1-'الافتراضات'!$B$9)/(1+'الافتراضات'!$B$6)-P14-'الافتراضات'!$B$7-'الافتراضات'!$B$8&lt;=0,0,(V14+Q14)/((1-'الافتراضات'!$B$9)/(1+'الافتراضات'!$B$6)-P14-'الافتراضات'!$B$7-'الافتراضات'!$B$8))</f>
        <v/>
      </c>
    </row>
    <row r="15">
      <c r="A15" s="10" t="n">
        <v>14</v>
      </c>
      <c r="B15" s="11" t="inlineStr">
        <is>
          <t>إكسسوارات الجوال والإلكترونيات</t>
        </is>
      </c>
      <c r="C15" s="11" t="inlineStr">
        <is>
          <t>سماعات رأس بلوتوث فوق الأذن</t>
        </is>
      </c>
      <c r="D15" s="11" t="inlineStr">
        <is>
          <t>bluetooth over ear headphones</t>
        </is>
      </c>
      <c r="E15" s="12" t="n">
        <v>73</v>
      </c>
      <c r="F15" s="10" t="inlineStr">
        <is>
          <t>فعلي من نون</t>
        </is>
      </c>
      <c r="G15" s="10" t="inlineStr">
        <is>
          <t>فعلي: 36–499</t>
        </is>
      </c>
      <c r="H15" s="10" t="inlineStr">
        <is>
          <t>عالية</t>
        </is>
      </c>
      <c r="I15" s="10" t="inlineStr">
        <is>
          <t>مؤكد</t>
        </is>
      </c>
      <c r="J15" s="13" t="n">
        <v>2.89</v>
      </c>
      <c r="K15" s="11" t="inlineStr">
        <is>
          <t>سعر مصانع فعلي (10 قائمة)</t>
        </is>
      </c>
      <c r="L15" s="14" t="n">
        <v>0.4</v>
      </c>
      <c r="M15" s="10" t="inlineStr">
        <is>
          <t>متوسط</t>
        </is>
      </c>
      <c r="N15" s="11" t="inlineStr">
        <is>
          <t>طوال السنة</t>
        </is>
      </c>
      <c r="O15" s="11" t="inlineStr">
        <is>
          <t>SABER + بطارية ليثيوم</t>
        </is>
      </c>
      <c r="P15" s="15" t="n">
        <v>0.2</v>
      </c>
      <c r="Q15" s="14" t="n">
        <v>9.5</v>
      </c>
      <c r="R15" s="14" t="n">
        <v>50</v>
      </c>
      <c r="S15" s="16">
        <f>J15*'الافتراضات'!$B$2*(1+'الافتراضات'!$B$3)</f>
        <v/>
      </c>
      <c r="T15" s="16">
        <f>L15*'الافتراضات'!$B$4</f>
        <v/>
      </c>
      <c r="U15" s="16">
        <f>(S15+T15)*'الافتراضات'!$B$5</f>
        <v/>
      </c>
      <c r="V15" s="16">
        <f>S15+T15+U15</f>
        <v/>
      </c>
      <c r="W15" s="16">
        <f>MAX(1,E15*P15)</f>
        <v/>
      </c>
      <c r="X15" s="16">
        <f>E15*'الافتراضات'!$B$7</f>
        <v/>
      </c>
      <c r="Y15" s="16">
        <f>E15*'الافتراضات'!$B$8</f>
        <v/>
      </c>
      <c r="Z15" s="16">
        <f>E15/(1+'الافتراضات'!$B$6)</f>
        <v/>
      </c>
      <c r="AA15" s="16">
        <f>Z15-V15-W15-Q15-X15-Y15</f>
        <v/>
      </c>
      <c r="AB15" s="17">
        <f>IF(Z15=0,0,AA15/Z15)</f>
        <v/>
      </c>
      <c r="AC15" s="17">
        <f>IF(V15=0,0,AA15/V15)</f>
        <v/>
      </c>
      <c r="AD15" s="18">
        <f>R15*V15</f>
        <v/>
      </c>
      <c r="AE15" s="16">
        <f>IF(AB15&gt;='الافتراضات'!$B$9,IF(O15="لا","ابدأ به","جيد – يحتاج شهادة"),IF(AB15&gt;='الافتراضات'!$B$10,"مقبول","ضعيف"))</f>
        <v/>
      </c>
      <c r="AF15" s="16">
        <f>IF((1-'الافتراضات'!$B$9)/(1+'الافتراضات'!$B$6)-P15-'الافتراضات'!$B$7-'الافتراضات'!$B$8&lt;=0,0,(V15+Q15)/((1-'الافتراضات'!$B$9)/(1+'الافتراضات'!$B$6)-P15-'الافتراضات'!$B$7-'الافتراضات'!$B$8))</f>
        <v/>
      </c>
    </row>
    <row r="16">
      <c r="A16" s="10" t="n">
        <v>15</v>
      </c>
      <c r="B16" s="11" t="inlineStr">
        <is>
          <t>إكسسوارات الجوال والإلكترونيات</t>
        </is>
      </c>
      <c r="C16" s="11" t="inlineStr">
        <is>
          <t>باور بانك 20000 شحن سريع</t>
        </is>
      </c>
      <c r="D16" s="11" t="inlineStr">
        <is>
          <t>20000mAh power bank fast charging</t>
        </is>
      </c>
      <c r="E16" s="12" t="n">
        <v>112</v>
      </c>
      <c r="F16" s="10" t="inlineStr">
        <is>
          <t>فعلي من نون</t>
        </is>
      </c>
      <c r="G16" s="10" t="inlineStr">
        <is>
          <t>فعلي: 59–299</t>
        </is>
      </c>
      <c r="H16" s="10" t="inlineStr">
        <is>
          <t>عالية</t>
        </is>
      </c>
      <c r="I16" s="10" t="inlineStr">
        <is>
          <t>مؤكد</t>
        </is>
      </c>
      <c r="J16" s="13" t="n">
        <v>7.26</v>
      </c>
      <c r="K16" s="11" t="inlineStr">
        <is>
          <t>سعر مصانع فعلي (12 قائمة)</t>
        </is>
      </c>
      <c r="L16" s="14" t="n">
        <v>0.5</v>
      </c>
      <c r="M16" s="10" t="inlineStr">
        <is>
          <t>متوسط</t>
        </is>
      </c>
      <c r="N16" s="11" t="inlineStr">
        <is>
          <t>طوال السنة</t>
        </is>
      </c>
      <c r="O16" s="11" t="inlineStr">
        <is>
          <t>SABER + بطارية ليثيوم</t>
        </is>
      </c>
      <c r="P16" s="15" t="n">
        <v>0.15</v>
      </c>
      <c r="Q16" s="14" t="n">
        <v>9.5</v>
      </c>
      <c r="R16" s="14" t="n">
        <v>50</v>
      </c>
      <c r="S16" s="16">
        <f>J16*'الافتراضات'!$B$2*(1+'الافتراضات'!$B$3)</f>
        <v/>
      </c>
      <c r="T16" s="16">
        <f>L16*'الافتراضات'!$B$4</f>
        <v/>
      </c>
      <c r="U16" s="16">
        <f>(S16+T16)*'الافتراضات'!$B$5</f>
        <v/>
      </c>
      <c r="V16" s="16">
        <f>S16+T16+U16</f>
        <v/>
      </c>
      <c r="W16" s="16">
        <f>MAX(1,E16*P16)</f>
        <v/>
      </c>
      <c r="X16" s="16">
        <f>E16*'الافتراضات'!$B$7</f>
        <v/>
      </c>
      <c r="Y16" s="16">
        <f>E16*'الافتراضات'!$B$8</f>
        <v/>
      </c>
      <c r="Z16" s="16">
        <f>E16/(1+'الافتراضات'!$B$6)</f>
        <v/>
      </c>
      <c r="AA16" s="16">
        <f>Z16-V16-W16-Q16-X16-Y16</f>
        <v/>
      </c>
      <c r="AB16" s="17">
        <f>IF(Z16=0,0,AA16/Z16)</f>
        <v/>
      </c>
      <c r="AC16" s="17">
        <f>IF(V16=0,0,AA16/V16)</f>
        <v/>
      </c>
      <c r="AD16" s="18">
        <f>R16*V16</f>
        <v/>
      </c>
      <c r="AE16" s="16">
        <f>IF(AB16&gt;='الافتراضات'!$B$9,IF(O16="لا","ابدأ به","جيد – يحتاج شهادة"),IF(AB16&gt;='الافتراضات'!$B$10,"مقبول","ضعيف"))</f>
        <v/>
      </c>
      <c r="AF16" s="16">
        <f>IF((1-'الافتراضات'!$B$9)/(1+'الافتراضات'!$B$6)-P16-'الافتراضات'!$B$7-'الافتراضات'!$B$8&lt;=0,0,(V16+Q16)/((1-'الافتراضات'!$B$9)/(1+'الافتراضات'!$B$6)-P16-'الافتراضات'!$B$7-'الافتراضات'!$B$8))</f>
        <v/>
      </c>
    </row>
    <row r="17">
      <c r="A17" s="10" t="n">
        <v>16</v>
      </c>
      <c r="B17" s="11" t="inlineStr">
        <is>
          <t>إكسسوارات الجوال والإلكترونيات</t>
        </is>
      </c>
      <c r="C17" s="11" t="inlineStr">
        <is>
          <t>باور بانك مغناطيسي لاسلكي 10000</t>
        </is>
      </c>
      <c r="D17" s="11" t="inlineStr">
        <is>
          <t>magnetic wireless power bank 10000mAh</t>
        </is>
      </c>
      <c r="E17" s="12" t="n">
        <v>125</v>
      </c>
      <c r="F17" s="10" t="inlineStr">
        <is>
          <t>فعلي من نون</t>
        </is>
      </c>
      <c r="G17" s="10" t="inlineStr">
        <is>
          <t>فعلي: 81–289</t>
        </is>
      </c>
      <c r="H17" s="10" t="inlineStr">
        <is>
          <t>عالية</t>
        </is>
      </c>
      <c r="I17" s="10" t="inlineStr">
        <is>
          <t>مؤكد</t>
        </is>
      </c>
      <c r="J17" s="13" t="n">
        <v>8.9</v>
      </c>
      <c r="K17" s="11" t="inlineStr">
        <is>
          <t>سعر مصانع فعلي (15 قائمة)</t>
        </is>
      </c>
      <c r="L17" s="14" t="n">
        <v>0.3</v>
      </c>
      <c r="M17" s="10" t="inlineStr">
        <is>
          <t>صغير</t>
        </is>
      </c>
      <c r="N17" s="11" t="inlineStr">
        <is>
          <t>طوال السنة</t>
        </is>
      </c>
      <c r="O17" s="11" t="inlineStr">
        <is>
          <t>SABER + بطارية ليثيوم</t>
        </is>
      </c>
      <c r="P17" s="15" t="n">
        <v>0.15</v>
      </c>
      <c r="Q17" s="14" t="n">
        <v>9.5</v>
      </c>
      <c r="R17" s="14" t="n">
        <v>50</v>
      </c>
      <c r="S17" s="16">
        <f>J17*'الافتراضات'!$B$2*(1+'الافتراضات'!$B$3)</f>
        <v/>
      </c>
      <c r="T17" s="16">
        <f>L17*'الافتراضات'!$B$4</f>
        <v/>
      </c>
      <c r="U17" s="16">
        <f>(S17+T17)*'الافتراضات'!$B$5</f>
        <v/>
      </c>
      <c r="V17" s="16">
        <f>S17+T17+U17</f>
        <v/>
      </c>
      <c r="W17" s="16">
        <f>MAX(1,E17*P17)</f>
        <v/>
      </c>
      <c r="X17" s="16">
        <f>E17*'الافتراضات'!$B$7</f>
        <v/>
      </c>
      <c r="Y17" s="16">
        <f>E17*'الافتراضات'!$B$8</f>
        <v/>
      </c>
      <c r="Z17" s="16">
        <f>E17/(1+'الافتراضات'!$B$6)</f>
        <v/>
      </c>
      <c r="AA17" s="16">
        <f>Z17-V17-W17-Q17-X17-Y17</f>
        <v/>
      </c>
      <c r="AB17" s="17">
        <f>IF(Z17=0,0,AA17/Z17)</f>
        <v/>
      </c>
      <c r="AC17" s="17">
        <f>IF(V17=0,0,AA17/V17)</f>
        <v/>
      </c>
      <c r="AD17" s="18">
        <f>R17*V17</f>
        <v/>
      </c>
      <c r="AE17" s="16">
        <f>IF(AB17&gt;='الافتراضات'!$B$9,IF(O17="لا","ابدأ به","جيد – يحتاج شهادة"),IF(AB17&gt;='الافتراضات'!$B$10,"مقبول","ضعيف"))</f>
        <v/>
      </c>
      <c r="AF17" s="16">
        <f>IF((1-'الافتراضات'!$B$9)/(1+'الافتراضات'!$B$6)-P17-'الافتراضات'!$B$7-'الافتراضات'!$B$8&lt;=0,0,(V17+Q17)/((1-'الافتراضات'!$B$9)/(1+'الافتراضات'!$B$6)-P17-'الافتراضات'!$B$7-'الافتراضات'!$B$8))</f>
        <v/>
      </c>
    </row>
    <row r="18">
      <c r="A18" s="10" t="n">
        <v>17</v>
      </c>
      <c r="B18" s="11" t="inlineStr">
        <is>
          <t>إكسسوارات الجوال والإلكترونيات</t>
        </is>
      </c>
      <c r="C18" s="11" t="inlineStr">
        <is>
          <t>رينق لايت 10 بوصة مع ترايبود</t>
        </is>
      </c>
      <c r="D18" s="11" t="inlineStr">
        <is>
          <t>10 inch ring light tripod</t>
        </is>
      </c>
      <c r="E18" s="12" t="n">
        <v>72</v>
      </c>
      <c r="F18" s="10" t="inlineStr">
        <is>
          <t>فعلي من نون</t>
        </is>
      </c>
      <c r="G18" s="10" t="inlineStr">
        <is>
          <t>فعلي: 35–223</t>
        </is>
      </c>
      <c r="H18" s="10" t="inlineStr">
        <is>
          <t>عالية</t>
        </is>
      </c>
      <c r="I18" s="10" t="inlineStr">
        <is>
          <t>مؤكد</t>
        </is>
      </c>
      <c r="J18" s="13" t="n">
        <v>3.7</v>
      </c>
      <c r="K18" s="11" t="inlineStr">
        <is>
          <t>سعر مصانع فعلي (14 قائمة)</t>
        </is>
      </c>
      <c r="L18" s="14" t="n">
        <v>0.9</v>
      </c>
      <c r="M18" s="10" t="inlineStr">
        <is>
          <t>متوسط</t>
        </is>
      </c>
      <c r="N18" s="11" t="inlineStr">
        <is>
          <t>طوال السنة</t>
        </is>
      </c>
      <c r="O18" s="11" t="inlineStr">
        <is>
          <t>SABER</t>
        </is>
      </c>
      <c r="P18" s="15" t="n">
        <v>0.1</v>
      </c>
      <c r="Q18" s="14" t="n">
        <v>10</v>
      </c>
      <c r="R18" s="14" t="n">
        <v>50</v>
      </c>
      <c r="S18" s="16">
        <f>J18*'الافتراضات'!$B$2*(1+'الافتراضات'!$B$3)</f>
        <v/>
      </c>
      <c r="T18" s="16">
        <f>L18*'الافتراضات'!$B$4</f>
        <v/>
      </c>
      <c r="U18" s="16">
        <f>(S18+T18)*'الافتراضات'!$B$5</f>
        <v/>
      </c>
      <c r="V18" s="16">
        <f>S18+T18+U18</f>
        <v/>
      </c>
      <c r="W18" s="16">
        <f>MAX(1,E18*P18)</f>
        <v/>
      </c>
      <c r="X18" s="16">
        <f>E18*'الافتراضات'!$B$7</f>
        <v/>
      </c>
      <c r="Y18" s="16">
        <f>E18*'الافتراضات'!$B$8</f>
        <v/>
      </c>
      <c r="Z18" s="16">
        <f>E18/(1+'الافتراضات'!$B$6)</f>
        <v/>
      </c>
      <c r="AA18" s="16">
        <f>Z18-V18-W18-Q18-X18-Y18</f>
        <v/>
      </c>
      <c r="AB18" s="17">
        <f>IF(Z18=0,0,AA18/Z18)</f>
        <v/>
      </c>
      <c r="AC18" s="17">
        <f>IF(V18=0,0,AA18/V18)</f>
        <v/>
      </c>
      <c r="AD18" s="18">
        <f>R18*V18</f>
        <v/>
      </c>
      <c r="AE18" s="16">
        <f>IF(AB18&gt;='الافتراضات'!$B$9,IF(O18="لا","ابدأ به","جيد – يحتاج شهادة"),IF(AB18&gt;='الافتراضات'!$B$10,"مقبول","ضعيف"))</f>
        <v/>
      </c>
      <c r="AF18" s="16">
        <f>IF((1-'الافتراضات'!$B$9)/(1+'الافتراضات'!$B$6)-P18-'الافتراضات'!$B$7-'الافتراضات'!$B$8&lt;=0,0,(V18+Q18)/((1-'الافتراضات'!$B$9)/(1+'الافتراضات'!$B$6)-P18-'الافتراضات'!$B$7-'الافتراضات'!$B$8))</f>
        <v/>
      </c>
    </row>
    <row r="19">
      <c r="A19" s="10" t="n">
        <v>18</v>
      </c>
      <c r="B19" s="11" t="inlineStr">
        <is>
          <t>إكسسوارات الجوال والإلكترونيات</t>
        </is>
      </c>
      <c r="C19" s="11" t="inlineStr">
        <is>
          <t>كيبل شحن قابل للسحب</t>
        </is>
      </c>
      <c r="D19" s="11" t="inlineStr">
        <is>
          <t>retractable charging cable</t>
        </is>
      </c>
      <c r="E19" s="12" t="n">
        <v>37</v>
      </c>
      <c r="F19" s="10" t="inlineStr">
        <is>
          <t>فعلي من نون</t>
        </is>
      </c>
      <c r="G19" s="10" t="inlineStr">
        <is>
          <t>فعلي: 20–99</t>
        </is>
      </c>
      <c r="H19" s="10" t="inlineStr">
        <is>
          <t>متوسطة</t>
        </is>
      </c>
      <c r="I19" s="10" t="inlineStr">
        <is>
          <t>مؤكد</t>
        </is>
      </c>
      <c r="J19" s="13" t="n">
        <v>1.19</v>
      </c>
      <c r="K19" s="11" t="inlineStr">
        <is>
          <t>سعر مصانع فعلي (15 قائمة)</t>
        </is>
      </c>
      <c r="L19" s="14" t="n">
        <v>0.08</v>
      </c>
      <c r="M19" s="10" t="inlineStr">
        <is>
          <t>صغير</t>
        </is>
      </c>
      <c r="N19" s="11" t="inlineStr">
        <is>
          <t>طوال السنة</t>
        </is>
      </c>
      <c r="O19" s="11" t="inlineStr">
        <is>
          <t>لا</t>
        </is>
      </c>
      <c r="P19" s="15" t="n">
        <v>0.2</v>
      </c>
      <c r="Q19" s="14" t="n">
        <v>8</v>
      </c>
      <c r="R19" s="14" t="n">
        <v>50</v>
      </c>
      <c r="S19" s="16">
        <f>J19*'الافتراضات'!$B$2*(1+'الافتراضات'!$B$3)</f>
        <v/>
      </c>
      <c r="T19" s="16">
        <f>L19*'الافتراضات'!$B$4</f>
        <v/>
      </c>
      <c r="U19" s="16">
        <f>(S19+T19)*'الافتراضات'!$B$5</f>
        <v/>
      </c>
      <c r="V19" s="16">
        <f>S19+T19+U19</f>
        <v/>
      </c>
      <c r="W19" s="16">
        <f>MAX(1,E19*P19)</f>
        <v/>
      </c>
      <c r="X19" s="16">
        <f>E19*'الافتراضات'!$B$7</f>
        <v/>
      </c>
      <c r="Y19" s="16">
        <f>E19*'الافتراضات'!$B$8</f>
        <v/>
      </c>
      <c r="Z19" s="16">
        <f>E19/(1+'الافتراضات'!$B$6)</f>
        <v/>
      </c>
      <c r="AA19" s="16">
        <f>Z19-V19-W19-Q19-X19-Y19</f>
        <v/>
      </c>
      <c r="AB19" s="17">
        <f>IF(Z19=0,0,AA19/Z19)</f>
        <v/>
      </c>
      <c r="AC19" s="17">
        <f>IF(V19=0,0,AA19/V19)</f>
        <v/>
      </c>
      <c r="AD19" s="18">
        <f>R19*V19</f>
        <v/>
      </c>
      <c r="AE19" s="16">
        <f>IF(AB19&gt;='الافتراضات'!$B$9,IF(O19="لا","ابدأ به","جيد – يحتاج شهادة"),IF(AB19&gt;='الافتراضات'!$B$10,"مقبول","ضعيف"))</f>
        <v/>
      </c>
      <c r="AF19" s="16">
        <f>IF((1-'الافتراضات'!$B$9)/(1+'الافتراضات'!$B$6)-P19-'الافتراضات'!$B$7-'الافتراضات'!$B$8&lt;=0,0,(V19+Q19)/((1-'الافتراضات'!$B$9)/(1+'الافتراضات'!$B$6)-P19-'الافتراضات'!$B$7-'الافتراضات'!$B$8))</f>
        <v/>
      </c>
    </row>
    <row r="20">
      <c r="A20" s="10" t="n">
        <v>19</v>
      </c>
      <c r="B20" s="11" t="inlineStr">
        <is>
          <t>إكسسوارات الجوال والإلكترونيات</t>
        </is>
      </c>
      <c r="C20" s="11" t="inlineStr">
        <is>
          <t>شاحن جداري GaN بقوة 65 واط</t>
        </is>
      </c>
      <c r="D20" s="11" t="inlineStr">
        <is>
          <t>GaN charger 65W</t>
        </is>
      </c>
      <c r="E20" s="12" t="n">
        <v>95</v>
      </c>
      <c r="F20" s="10" t="inlineStr">
        <is>
          <t>فعلي من نون</t>
        </is>
      </c>
      <c r="G20" s="10" t="inlineStr">
        <is>
          <t>فعلي: 28–169</t>
        </is>
      </c>
      <c r="H20" s="10" t="inlineStr">
        <is>
          <t>عالية</t>
        </is>
      </c>
      <c r="I20" s="10" t="inlineStr">
        <is>
          <t>مؤكد</t>
        </is>
      </c>
      <c r="J20" s="13" t="n">
        <v>7</v>
      </c>
      <c r="K20" s="11" t="inlineStr">
        <is>
          <t>سعر مصانع فعلي (10 قائمة)</t>
        </is>
      </c>
      <c r="L20" s="14" t="n">
        <v>0.2</v>
      </c>
      <c r="M20" s="10" t="inlineStr">
        <is>
          <t>صغير</t>
        </is>
      </c>
      <c r="N20" s="11" t="inlineStr">
        <is>
          <t>طوال السنة</t>
        </is>
      </c>
      <c r="O20" s="11" t="inlineStr">
        <is>
          <t>SABER</t>
        </is>
      </c>
      <c r="P20" s="15" t="n">
        <v>0.15</v>
      </c>
      <c r="Q20" s="14" t="n">
        <v>9</v>
      </c>
      <c r="R20" s="14" t="n">
        <v>50</v>
      </c>
      <c r="S20" s="16">
        <f>J20*'الافتراضات'!$B$2*(1+'الافتراضات'!$B$3)</f>
        <v/>
      </c>
      <c r="T20" s="16">
        <f>L20*'الافتراضات'!$B$4</f>
        <v/>
      </c>
      <c r="U20" s="16">
        <f>(S20+T20)*'الافتراضات'!$B$5</f>
        <v/>
      </c>
      <c r="V20" s="16">
        <f>S20+T20+U20</f>
        <v/>
      </c>
      <c r="W20" s="16">
        <f>MAX(1,E20*P20)</f>
        <v/>
      </c>
      <c r="X20" s="16">
        <f>E20*'الافتراضات'!$B$7</f>
        <v/>
      </c>
      <c r="Y20" s="16">
        <f>E20*'الافتراضات'!$B$8</f>
        <v/>
      </c>
      <c r="Z20" s="16">
        <f>E20/(1+'الافتراضات'!$B$6)</f>
        <v/>
      </c>
      <c r="AA20" s="16">
        <f>Z20-V20-W20-Q20-X20-Y20</f>
        <v/>
      </c>
      <c r="AB20" s="17">
        <f>IF(Z20=0,0,AA20/Z20)</f>
        <v/>
      </c>
      <c r="AC20" s="17">
        <f>IF(V20=0,0,AA20/V20)</f>
        <v/>
      </c>
      <c r="AD20" s="18">
        <f>R20*V20</f>
        <v/>
      </c>
      <c r="AE20" s="16">
        <f>IF(AB20&gt;='الافتراضات'!$B$9,IF(O20="لا","ابدأ به","جيد – يحتاج شهادة"),IF(AB20&gt;='الافتراضات'!$B$10,"مقبول","ضعيف"))</f>
        <v/>
      </c>
      <c r="AF20" s="16">
        <f>IF((1-'الافتراضات'!$B$9)/(1+'الافتراضات'!$B$6)-P20-'الافتراضات'!$B$7-'الافتراضات'!$B$8&lt;=0,0,(V20+Q20)/((1-'الافتراضات'!$B$9)/(1+'الافتراضات'!$B$6)-P20-'الافتراضات'!$B$7-'الافتراضات'!$B$8))</f>
        <v/>
      </c>
    </row>
    <row r="21">
      <c r="A21" s="10" t="n">
        <v>20</v>
      </c>
      <c r="B21" s="11" t="inlineStr">
        <is>
          <t>إكسسوارات الجوال والإلكترونيات</t>
        </is>
      </c>
      <c r="C21" s="11" t="inlineStr">
        <is>
          <t>كيبل OTG محول USB-C</t>
        </is>
      </c>
      <c r="D21" s="11" t="inlineStr">
        <is>
          <t>USB-C to USB adapter OTG</t>
        </is>
      </c>
      <c r="E21" s="12" t="n">
        <v>18</v>
      </c>
      <c r="F21" s="10" t="inlineStr">
        <is>
          <t>فعلي من نون</t>
        </is>
      </c>
      <c r="G21" s="10" t="inlineStr">
        <is>
          <t>فعلي: 16–33</t>
        </is>
      </c>
      <c r="H21" s="10" t="inlineStr">
        <is>
          <t>منخفضة</t>
        </is>
      </c>
      <c r="I21" s="10" t="inlineStr">
        <is>
          <t>مؤكد</t>
        </is>
      </c>
      <c r="J21" s="13" t="n">
        <v>0.5</v>
      </c>
      <c r="K21" s="11" t="inlineStr">
        <is>
          <t>تقدير</t>
        </is>
      </c>
      <c r="L21" s="14" t="n">
        <v>0.03</v>
      </c>
      <c r="M21" s="10" t="inlineStr">
        <is>
          <t>صغير</t>
        </is>
      </c>
      <c r="N21" s="11" t="inlineStr">
        <is>
          <t>طوال السنة</t>
        </is>
      </c>
      <c r="O21" s="11" t="inlineStr">
        <is>
          <t>لا</t>
        </is>
      </c>
      <c r="P21" s="15" t="n">
        <v>0.13</v>
      </c>
      <c r="Q21" s="14" t="n">
        <v>6</v>
      </c>
      <c r="R21" s="14" t="n">
        <v>50</v>
      </c>
      <c r="S21" s="16">
        <f>J21*'الافتراضات'!$B$2*(1+'الافتراضات'!$B$3)</f>
        <v/>
      </c>
      <c r="T21" s="16">
        <f>L21*'الافتراضات'!$B$4</f>
        <v/>
      </c>
      <c r="U21" s="16">
        <f>(S21+T21)*'الافتراضات'!$B$5</f>
        <v/>
      </c>
      <c r="V21" s="16">
        <f>S21+T21+U21</f>
        <v/>
      </c>
      <c r="W21" s="16">
        <f>MAX(1,E21*P21)</f>
        <v/>
      </c>
      <c r="X21" s="16">
        <f>E21*'الافتراضات'!$B$7</f>
        <v/>
      </c>
      <c r="Y21" s="16">
        <f>E21*'الافتراضات'!$B$8</f>
        <v/>
      </c>
      <c r="Z21" s="16">
        <f>E21/(1+'الافتراضات'!$B$6)</f>
        <v/>
      </c>
      <c r="AA21" s="16">
        <f>Z21-V21-W21-Q21-X21-Y21</f>
        <v/>
      </c>
      <c r="AB21" s="17">
        <f>IF(Z21=0,0,AA21/Z21)</f>
        <v/>
      </c>
      <c r="AC21" s="17">
        <f>IF(V21=0,0,AA21/V21)</f>
        <v/>
      </c>
      <c r="AD21" s="18">
        <f>R21*V21</f>
        <v/>
      </c>
      <c r="AE21" s="16">
        <f>IF(AB21&gt;='الافتراضات'!$B$9,IF(O21="لا","ابدأ به","جيد – يحتاج شهادة"),IF(AB21&gt;='الافتراضات'!$B$10,"مقبول","ضعيف"))</f>
        <v/>
      </c>
      <c r="AF21" s="16">
        <f>IF((1-'الافتراضات'!$B$9)/(1+'الافتراضات'!$B$6)-P21-'الافتراضات'!$B$7-'الافتراضات'!$B$8&lt;=0,0,(V21+Q21)/((1-'الافتراضات'!$B$9)/(1+'الافتراضات'!$B$6)-P21-'الافتراضات'!$B$7-'الافتراضات'!$B$8))</f>
        <v/>
      </c>
    </row>
    <row r="22">
      <c r="A22" s="10" t="n">
        <v>21</v>
      </c>
      <c r="B22" s="11" t="inlineStr">
        <is>
          <t>إكسسوارات الجوال والإلكترونيات</t>
        </is>
      </c>
      <c r="C22" s="11" t="inlineStr">
        <is>
          <t>إضاءة LED صغيرة للفيديو</t>
        </is>
      </c>
      <c r="D22" s="11" t="inlineStr">
        <is>
          <t>mini LED video light</t>
        </is>
      </c>
      <c r="E22" s="12" t="n">
        <v>48</v>
      </c>
      <c r="F22" s="10" t="inlineStr">
        <is>
          <t>فعلي من نون</t>
        </is>
      </c>
      <c r="G22" s="10" t="inlineStr">
        <is>
          <t>فعلي: 35–300</t>
        </is>
      </c>
      <c r="H22" s="10" t="inlineStr">
        <is>
          <t>متوسطة</t>
        </is>
      </c>
      <c r="I22" s="10" t="inlineStr">
        <is>
          <t>مؤكد</t>
        </is>
      </c>
      <c r="J22" s="13" t="n">
        <v>3.2</v>
      </c>
      <c r="K22" s="11" t="inlineStr">
        <is>
          <t>سعر مصانع فعلي (11 قائمة)</t>
        </is>
      </c>
      <c r="L22" s="14" t="n">
        <v>0.2</v>
      </c>
      <c r="M22" s="10" t="inlineStr">
        <is>
          <t>صغير</t>
        </is>
      </c>
      <c r="N22" s="11" t="inlineStr">
        <is>
          <t>طوال السنة</t>
        </is>
      </c>
      <c r="O22" s="11" t="inlineStr">
        <is>
          <t>SABER + بطارية ليثيوم</t>
        </is>
      </c>
      <c r="P22" s="15" t="n">
        <v>0.1</v>
      </c>
      <c r="Q22" s="14" t="n">
        <v>9</v>
      </c>
      <c r="R22" s="14" t="n">
        <v>50</v>
      </c>
      <c r="S22" s="16">
        <f>J22*'الافتراضات'!$B$2*(1+'الافتراضات'!$B$3)</f>
        <v/>
      </c>
      <c r="T22" s="16">
        <f>L22*'الافتراضات'!$B$4</f>
        <v/>
      </c>
      <c r="U22" s="16">
        <f>(S22+T22)*'الافتراضات'!$B$5</f>
        <v/>
      </c>
      <c r="V22" s="16">
        <f>S22+T22+U22</f>
        <v/>
      </c>
      <c r="W22" s="16">
        <f>MAX(1,E22*P22)</f>
        <v/>
      </c>
      <c r="X22" s="16">
        <f>E22*'الافتراضات'!$B$7</f>
        <v/>
      </c>
      <c r="Y22" s="16">
        <f>E22*'الافتراضات'!$B$8</f>
        <v/>
      </c>
      <c r="Z22" s="16">
        <f>E22/(1+'الافتراضات'!$B$6)</f>
        <v/>
      </c>
      <c r="AA22" s="16">
        <f>Z22-V22-W22-Q22-X22-Y22</f>
        <v/>
      </c>
      <c r="AB22" s="17">
        <f>IF(Z22=0,0,AA22/Z22)</f>
        <v/>
      </c>
      <c r="AC22" s="17">
        <f>IF(V22=0,0,AA22/V22)</f>
        <v/>
      </c>
      <c r="AD22" s="18">
        <f>R22*V22</f>
        <v/>
      </c>
      <c r="AE22" s="16">
        <f>IF(AB22&gt;='الافتراضات'!$B$9,IF(O22="لا","ابدأ به","جيد – يحتاج شهادة"),IF(AB22&gt;='الافتراضات'!$B$10,"مقبول","ضعيف"))</f>
        <v/>
      </c>
      <c r="AF22" s="16">
        <f>IF((1-'الافتراضات'!$B$9)/(1+'الافتراضات'!$B$6)-P22-'الافتراضات'!$B$7-'الافتراضات'!$B$8&lt;=0,0,(V22+Q22)/((1-'الافتراضات'!$B$9)/(1+'الافتراضات'!$B$6)-P22-'الافتراضات'!$B$7-'الافتراضات'!$B$8))</f>
        <v/>
      </c>
    </row>
    <row r="23">
      <c r="A23" s="10" t="n">
        <v>22</v>
      </c>
      <c r="B23" s="11" t="inlineStr">
        <is>
          <t>إكسسوارات الجوال والإلكترونيات</t>
        </is>
      </c>
      <c r="C23" s="11" t="inlineStr">
        <is>
          <t>حامل جوال لتصوير الطاولة بذراع مرن</t>
        </is>
      </c>
      <c r="D23" s="11" t="inlineStr">
        <is>
          <t>flexible gooseneck phone holder</t>
        </is>
      </c>
      <c r="E23" s="12" t="n">
        <v>45</v>
      </c>
      <c r="F23" s="10" t="inlineStr">
        <is>
          <t>فعلي من نون</t>
        </is>
      </c>
      <c r="G23" s="10" t="inlineStr">
        <is>
          <t>فعلي: 19–99</t>
        </is>
      </c>
      <c r="H23" s="10" t="inlineStr">
        <is>
          <t>منخفضة</t>
        </is>
      </c>
      <c r="I23" s="10" t="inlineStr">
        <is>
          <t>مؤكد</t>
        </is>
      </c>
      <c r="J23" s="13" t="n">
        <v>1.15</v>
      </c>
      <c r="K23" s="11" t="inlineStr">
        <is>
          <t>سعر مصانع فعلي (9 قائمة)</t>
        </is>
      </c>
      <c r="L23" s="14" t="n">
        <v>0.5</v>
      </c>
      <c r="M23" s="10" t="inlineStr">
        <is>
          <t>متوسط</t>
        </is>
      </c>
      <c r="N23" s="11" t="inlineStr">
        <is>
          <t>طوال السنة</t>
        </is>
      </c>
      <c r="O23" s="11" t="inlineStr">
        <is>
          <t>لا</t>
        </is>
      </c>
      <c r="P23" s="15" t="n">
        <v>0.2</v>
      </c>
      <c r="Q23" s="14" t="n">
        <v>9.5</v>
      </c>
      <c r="R23" s="14" t="n">
        <v>50</v>
      </c>
      <c r="S23" s="16">
        <f>J23*'الافتراضات'!$B$2*(1+'الافتراضات'!$B$3)</f>
        <v/>
      </c>
      <c r="T23" s="16">
        <f>L23*'الافتراضات'!$B$4</f>
        <v/>
      </c>
      <c r="U23" s="16">
        <f>(S23+T23)*'الافتراضات'!$B$5</f>
        <v/>
      </c>
      <c r="V23" s="16">
        <f>S23+T23+U23</f>
        <v/>
      </c>
      <c r="W23" s="16">
        <f>MAX(1,E23*P23)</f>
        <v/>
      </c>
      <c r="X23" s="16">
        <f>E23*'الافتراضات'!$B$7</f>
        <v/>
      </c>
      <c r="Y23" s="16">
        <f>E23*'الافتراضات'!$B$8</f>
        <v/>
      </c>
      <c r="Z23" s="16">
        <f>E23/(1+'الافتراضات'!$B$6)</f>
        <v/>
      </c>
      <c r="AA23" s="16">
        <f>Z23-V23-W23-Q23-X23-Y23</f>
        <v/>
      </c>
      <c r="AB23" s="17">
        <f>IF(Z23=0,0,AA23/Z23)</f>
        <v/>
      </c>
      <c r="AC23" s="17">
        <f>IF(V23=0,0,AA23/V23)</f>
        <v/>
      </c>
      <c r="AD23" s="18">
        <f>R23*V23</f>
        <v/>
      </c>
      <c r="AE23" s="16">
        <f>IF(AB23&gt;='الافتراضات'!$B$9,IF(O23="لا","ابدأ به","جيد – يحتاج شهادة"),IF(AB23&gt;='الافتراضات'!$B$10,"مقبول","ضعيف"))</f>
        <v/>
      </c>
      <c r="AF23" s="16">
        <f>IF((1-'الافتراضات'!$B$9)/(1+'الافتراضات'!$B$6)-P23-'الافتراضات'!$B$7-'الافتراضات'!$B$8&lt;=0,0,(V23+Q23)/((1-'الافتراضات'!$B$9)/(1+'الافتراضات'!$B$6)-P23-'الافتراضات'!$B$7-'الافتراضات'!$B$8))</f>
        <v/>
      </c>
    </row>
    <row r="24">
      <c r="A24" s="10" t="n">
        <v>23</v>
      </c>
      <c r="B24" s="11" t="inlineStr">
        <is>
          <t>إكسسوارات الجوال والإلكترونيات</t>
        </is>
      </c>
      <c r="C24" s="11" t="inlineStr">
        <is>
          <t>ميكروفون لاسلكي للجوال لاڤالير</t>
        </is>
      </c>
      <c r="D24" s="11" t="inlineStr">
        <is>
          <t>wireless lavalier microphone USB-C</t>
        </is>
      </c>
      <c r="E24" s="12" t="n">
        <v>90</v>
      </c>
      <c r="F24" s="10" t="inlineStr">
        <is>
          <t>فعلي من نون</t>
        </is>
      </c>
      <c r="G24" s="10" t="inlineStr">
        <is>
          <t>فعلي: 44–382</t>
        </is>
      </c>
      <c r="H24" s="10" t="inlineStr">
        <is>
          <t>عالية</t>
        </is>
      </c>
      <c r="I24" s="10" t="inlineStr">
        <is>
          <t>مؤكد</t>
        </is>
      </c>
      <c r="J24" s="13" t="n">
        <v>7.5</v>
      </c>
      <c r="K24" s="11" t="inlineStr">
        <is>
          <t>تقدير</t>
        </is>
      </c>
      <c r="L24" s="14" t="n">
        <v>0.15</v>
      </c>
      <c r="M24" s="10" t="inlineStr">
        <is>
          <t>صغير</t>
        </is>
      </c>
      <c r="N24" s="11" t="inlineStr">
        <is>
          <t>طوال السنة</t>
        </is>
      </c>
      <c r="O24" s="11" t="inlineStr">
        <is>
          <t>SABER + بطارية ليثيوم</t>
        </is>
      </c>
      <c r="P24" s="15" t="n">
        <v>0.15</v>
      </c>
      <c r="Q24" s="14" t="n">
        <v>9</v>
      </c>
      <c r="R24" s="14" t="n">
        <v>50</v>
      </c>
      <c r="S24" s="16">
        <f>J24*'الافتراضات'!$B$2*(1+'الافتراضات'!$B$3)</f>
        <v/>
      </c>
      <c r="T24" s="16">
        <f>L24*'الافتراضات'!$B$4</f>
        <v/>
      </c>
      <c r="U24" s="16">
        <f>(S24+T24)*'الافتراضات'!$B$5</f>
        <v/>
      </c>
      <c r="V24" s="16">
        <f>S24+T24+U24</f>
        <v/>
      </c>
      <c r="W24" s="16">
        <f>MAX(1,E24*P24)</f>
        <v/>
      </c>
      <c r="X24" s="16">
        <f>E24*'الافتراضات'!$B$7</f>
        <v/>
      </c>
      <c r="Y24" s="16">
        <f>E24*'الافتراضات'!$B$8</f>
        <v/>
      </c>
      <c r="Z24" s="16">
        <f>E24/(1+'الافتراضات'!$B$6)</f>
        <v/>
      </c>
      <c r="AA24" s="16">
        <f>Z24-V24-W24-Q24-X24-Y24</f>
        <v/>
      </c>
      <c r="AB24" s="17">
        <f>IF(Z24=0,0,AA24/Z24)</f>
        <v/>
      </c>
      <c r="AC24" s="17">
        <f>IF(V24=0,0,AA24/V24)</f>
        <v/>
      </c>
      <c r="AD24" s="18">
        <f>R24*V24</f>
        <v/>
      </c>
      <c r="AE24" s="16">
        <f>IF(AB24&gt;='الافتراضات'!$B$9,IF(O24="لا","ابدأ به","جيد – يحتاج شهادة"),IF(AB24&gt;='الافتراضات'!$B$10,"مقبول","ضعيف"))</f>
        <v/>
      </c>
      <c r="AF24" s="16">
        <f>IF((1-'الافتراضات'!$B$9)/(1+'الافتراضات'!$B$6)-P24-'الافتراضات'!$B$7-'الافتراضات'!$B$8&lt;=0,0,(V24+Q24)/((1-'الافتراضات'!$B$9)/(1+'الافتراضات'!$B$6)-P24-'الافتراضات'!$B$7-'الافتراضات'!$B$8))</f>
        <v/>
      </c>
    </row>
    <row r="25">
      <c r="A25" s="10" t="n">
        <v>24</v>
      </c>
      <c r="B25" s="11" t="inlineStr">
        <is>
          <t>إكسسوارات الجوال والإلكترونيات</t>
        </is>
      </c>
      <c r="C25" s="11" t="inlineStr">
        <is>
          <t>حامل جوال مكتبي قابل للطي</t>
        </is>
      </c>
      <c r="D25" s="11" t="inlineStr">
        <is>
          <t>foldable phone stand desk</t>
        </is>
      </c>
      <c r="E25" s="12" t="n">
        <v>29</v>
      </c>
      <c r="F25" s="10" t="inlineStr">
        <is>
          <t>فعلي من نون</t>
        </is>
      </c>
      <c r="G25" s="10" t="inlineStr">
        <is>
          <t>فعلي: 19–40</t>
        </is>
      </c>
      <c r="H25" s="10" t="inlineStr">
        <is>
          <t>عالية</t>
        </is>
      </c>
      <c r="I25" s="10" t="inlineStr">
        <is>
          <t>مؤكد</t>
        </is>
      </c>
      <c r="J25" s="13" t="n">
        <v>0.79</v>
      </c>
      <c r="K25" s="11" t="inlineStr">
        <is>
          <t>سعر مصانع فعلي (13 قائمة)</t>
        </is>
      </c>
      <c r="L25" s="14" t="n">
        <v>0.1</v>
      </c>
      <c r="M25" s="10" t="inlineStr">
        <is>
          <t>صغير</t>
        </is>
      </c>
      <c r="N25" s="11" t="inlineStr">
        <is>
          <t>طوال السنة</t>
        </is>
      </c>
      <c r="O25" s="11" t="inlineStr">
        <is>
          <t>لا</t>
        </is>
      </c>
      <c r="P25" s="15" t="n">
        <v>0.2</v>
      </c>
      <c r="Q25" s="14" t="n">
        <v>8</v>
      </c>
      <c r="R25" s="14" t="n">
        <v>50</v>
      </c>
      <c r="S25" s="16">
        <f>J25*'الافتراضات'!$B$2*(1+'الافتراضات'!$B$3)</f>
        <v/>
      </c>
      <c r="T25" s="16">
        <f>L25*'الافتراضات'!$B$4</f>
        <v/>
      </c>
      <c r="U25" s="16">
        <f>(S25+T25)*'الافتراضات'!$B$5</f>
        <v/>
      </c>
      <c r="V25" s="16">
        <f>S25+T25+U25</f>
        <v/>
      </c>
      <c r="W25" s="16">
        <f>MAX(1,E25*P25)</f>
        <v/>
      </c>
      <c r="X25" s="16">
        <f>E25*'الافتراضات'!$B$7</f>
        <v/>
      </c>
      <c r="Y25" s="16">
        <f>E25*'الافتراضات'!$B$8</f>
        <v/>
      </c>
      <c r="Z25" s="16">
        <f>E25/(1+'الافتراضات'!$B$6)</f>
        <v/>
      </c>
      <c r="AA25" s="16">
        <f>Z25-V25-W25-Q25-X25-Y25</f>
        <v/>
      </c>
      <c r="AB25" s="17">
        <f>IF(Z25=0,0,AA25/Z25)</f>
        <v/>
      </c>
      <c r="AC25" s="17">
        <f>IF(V25=0,0,AA25/V25)</f>
        <v/>
      </c>
      <c r="AD25" s="18">
        <f>R25*V25</f>
        <v/>
      </c>
      <c r="AE25" s="16">
        <f>IF(AB25&gt;='الافتراضات'!$B$9,IF(O25="لا","ابدأ به","جيد – يحتاج شهادة"),IF(AB25&gt;='الافتراضات'!$B$10,"مقبول","ضعيف"))</f>
        <v/>
      </c>
      <c r="AF25" s="16">
        <f>IF((1-'الافتراضات'!$B$9)/(1+'الافتراضات'!$B$6)-P25-'الافتراضات'!$B$7-'الافتراضات'!$B$8&lt;=0,0,(V25+Q25)/((1-'الافتراضات'!$B$9)/(1+'الافتراضات'!$B$6)-P25-'الافتراضات'!$B$7-'الافتراضات'!$B$8))</f>
        <v/>
      </c>
    </row>
    <row r="26">
      <c r="A26" s="10" t="n">
        <v>25</v>
      </c>
      <c r="B26" s="11" t="inlineStr">
        <is>
          <t>إكسسوارات الجوال والإلكترونيات</t>
        </is>
      </c>
      <c r="C26" s="11" t="inlineStr">
        <is>
          <t>قارئ بطاقات SD وmicroSD</t>
        </is>
      </c>
      <c r="D26" s="11" t="inlineStr">
        <is>
          <t>USB card reader SD microSD</t>
        </is>
      </c>
      <c r="E26" s="12" t="n">
        <v>23</v>
      </c>
      <c r="F26" s="10" t="inlineStr">
        <is>
          <t>فعلي من نون</t>
        </is>
      </c>
      <c r="G26" s="10" t="inlineStr">
        <is>
          <t>فعلي: 15–67</t>
        </is>
      </c>
      <c r="H26" s="10" t="inlineStr">
        <is>
          <t>متوسطة</t>
        </is>
      </c>
      <c r="I26" s="10" t="inlineStr">
        <is>
          <t>مؤكد</t>
        </is>
      </c>
      <c r="J26" s="13" t="n">
        <v>1.5</v>
      </c>
      <c r="K26" s="11" t="inlineStr">
        <is>
          <t>تقدير</t>
        </is>
      </c>
      <c r="L26" s="14" t="n">
        <v>0.04</v>
      </c>
      <c r="M26" s="10" t="inlineStr">
        <is>
          <t>صغير</t>
        </is>
      </c>
      <c r="N26" s="11" t="inlineStr">
        <is>
          <t>طوال السنة</t>
        </is>
      </c>
      <c r="O26" s="11" t="inlineStr">
        <is>
          <t>لا</t>
        </is>
      </c>
      <c r="P26" s="15" t="n">
        <v>0.07000000000000001</v>
      </c>
      <c r="Q26" s="14" t="n">
        <v>6</v>
      </c>
      <c r="R26" s="14" t="n">
        <v>50</v>
      </c>
      <c r="S26" s="16">
        <f>J26*'الافتراضات'!$B$2*(1+'الافتراضات'!$B$3)</f>
        <v/>
      </c>
      <c r="T26" s="16">
        <f>L26*'الافتراضات'!$B$4</f>
        <v/>
      </c>
      <c r="U26" s="16">
        <f>(S26+T26)*'الافتراضات'!$B$5</f>
        <v/>
      </c>
      <c r="V26" s="16">
        <f>S26+T26+U26</f>
        <v/>
      </c>
      <c r="W26" s="16">
        <f>MAX(1,E26*P26)</f>
        <v/>
      </c>
      <c r="X26" s="16">
        <f>E26*'الافتراضات'!$B$7</f>
        <v/>
      </c>
      <c r="Y26" s="16">
        <f>E26*'الافتراضات'!$B$8</f>
        <v/>
      </c>
      <c r="Z26" s="16">
        <f>E26/(1+'الافتراضات'!$B$6)</f>
        <v/>
      </c>
      <c r="AA26" s="16">
        <f>Z26-V26-W26-Q26-X26-Y26</f>
        <v/>
      </c>
      <c r="AB26" s="17">
        <f>IF(Z26=0,0,AA26/Z26)</f>
        <v/>
      </c>
      <c r="AC26" s="17">
        <f>IF(V26=0,0,AA26/V26)</f>
        <v/>
      </c>
      <c r="AD26" s="18">
        <f>R26*V26</f>
        <v/>
      </c>
      <c r="AE26" s="16">
        <f>IF(AB26&gt;='الافتراضات'!$B$9,IF(O26="لا","ابدأ به","جيد – يحتاج شهادة"),IF(AB26&gt;='الافتراضات'!$B$10,"مقبول","ضعيف"))</f>
        <v/>
      </c>
      <c r="AF26" s="16">
        <f>IF((1-'الافتراضات'!$B$9)/(1+'الافتراضات'!$B$6)-P26-'الافتراضات'!$B$7-'الافتراضات'!$B$8&lt;=0,0,(V26+Q26)/((1-'الافتراضات'!$B$9)/(1+'الافتراضات'!$B$6)-P26-'الافتراضات'!$B$7-'الافتراضات'!$B$8))</f>
        <v/>
      </c>
    </row>
    <row r="27">
      <c r="A27" s="10" t="n">
        <v>26</v>
      </c>
      <c r="B27" s="11" t="inlineStr">
        <is>
          <t>إكسسوارات الجوال والإلكترونيات</t>
        </is>
      </c>
      <c r="C27" s="11" t="inlineStr">
        <is>
          <t>كيبل شحن مغناطيسي</t>
        </is>
      </c>
      <c r="D27" s="11" t="inlineStr">
        <is>
          <t>magnetic charging cable</t>
        </is>
      </c>
      <c r="E27" s="12" t="n">
        <v>30</v>
      </c>
      <c r="F27" s="10" t="inlineStr">
        <is>
          <t>فعلي من نون</t>
        </is>
      </c>
      <c r="G27" s="10" t="inlineStr">
        <is>
          <t>فعلي: 11–99</t>
        </is>
      </c>
      <c r="H27" s="10" t="inlineStr">
        <is>
          <t>متوسطة</t>
        </is>
      </c>
      <c r="I27" s="10" t="inlineStr">
        <is>
          <t>مؤكد</t>
        </is>
      </c>
      <c r="J27" s="13" t="n">
        <v>1.28</v>
      </c>
      <c r="K27" s="11" t="inlineStr">
        <is>
          <t>سعر مصانع فعلي (5 قائمة)</t>
        </is>
      </c>
      <c r="L27" s="14" t="n">
        <v>0.08</v>
      </c>
      <c r="M27" s="10" t="inlineStr">
        <is>
          <t>صغير</t>
        </is>
      </c>
      <c r="N27" s="11" t="inlineStr">
        <is>
          <t>طوال السنة</t>
        </is>
      </c>
      <c r="O27" s="11" t="inlineStr">
        <is>
          <t>لا</t>
        </is>
      </c>
      <c r="P27" s="15" t="n">
        <v>0.2</v>
      </c>
      <c r="Q27" s="14" t="n">
        <v>8</v>
      </c>
      <c r="R27" s="14" t="n">
        <v>50</v>
      </c>
      <c r="S27" s="16">
        <f>J27*'الافتراضات'!$B$2*(1+'الافتراضات'!$B$3)</f>
        <v/>
      </c>
      <c r="T27" s="16">
        <f>L27*'الافتراضات'!$B$4</f>
        <v/>
      </c>
      <c r="U27" s="16">
        <f>(S27+T27)*'الافتراضات'!$B$5</f>
        <v/>
      </c>
      <c r="V27" s="16">
        <f>S27+T27+U27</f>
        <v/>
      </c>
      <c r="W27" s="16">
        <f>MAX(1,E27*P27)</f>
        <v/>
      </c>
      <c r="X27" s="16">
        <f>E27*'الافتراضات'!$B$7</f>
        <v/>
      </c>
      <c r="Y27" s="16">
        <f>E27*'الافتراضات'!$B$8</f>
        <v/>
      </c>
      <c r="Z27" s="16">
        <f>E27/(1+'الافتراضات'!$B$6)</f>
        <v/>
      </c>
      <c r="AA27" s="16">
        <f>Z27-V27-W27-Q27-X27-Y27</f>
        <v/>
      </c>
      <c r="AB27" s="17">
        <f>IF(Z27=0,0,AA27/Z27)</f>
        <v/>
      </c>
      <c r="AC27" s="17">
        <f>IF(V27=0,0,AA27/V27)</f>
        <v/>
      </c>
      <c r="AD27" s="18">
        <f>R27*V27</f>
        <v/>
      </c>
      <c r="AE27" s="16">
        <f>IF(AB27&gt;='الافتراضات'!$B$9,IF(O27="لا","ابدأ به","جيد – يحتاج شهادة"),IF(AB27&gt;='الافتراضات'!$B$10,"مقبول","ضعيف"))</f>
        <v/>
      </c>
      <c r="AF27" s="16">
        <f>IF((1-'الافتراضات'!$B$9)/(1+'الافتراضات'!$B$6)-P27-'الافتراضات'!$B$7-'الافتراضات'!$B$8&lt;=0,0,(V27+Q27)/((1-'الافتراضات'!$B$9)/(1+'الافتراضات'!$B$6)-P27-'الافتراضات'!$B$7-'الافتراضات'!$B$8))</f>
        <v/>
      </c>
    </row>
    <row r="28">
      <c r="A28" s="10" t="n">
        <v>27</v>
      </c>
      <c r="B28" s="11" t="inlineStr">
        <is>
          <t>إكسسوارات الجوال والإلكترونيات</t>
        </is>
      </c>
      <c r="C28" s="11" t="inlineStr">
        <is>
          <t>كيبل HDMI 4K مضفّر 3 متر</t>
        </is>
      </c>
      <c r="D28" s="11" t="inlineStr">
        <is>
          <t>HDMI cable 4K braided 3m</t>
        </is>
      </c>
      <c r="E28" s="12" t="n">
        <v>36</v>
      </c>
      <c r="F28" s="10" t="inlineStr">
        <is>
          <t>فعلي من نون</t>
        </is>
      </c>
      <c r="G28" s="10" t="inlineStr">
        <is>
          <t>فعلي: 23–155</t>
        </is>
      </c>
      <c r="H28" s="10" t="inlineStr">
        <is>
          <t>متوسطة</t>
        </is>
      </c>
      <c r="I28" s="10" t="inlineStr">
        <is>
          <t>مؤكد</t>
        </is>
      </c>
      <c r="J28" s="13" t="n">
        <v>2.2</v>
      </c>
      <c r="K28" s="11" t="inlineStr">
        <is>
          <t>تقدير</t>
        </is>
      </c>
      <c r="L28" s="14" t="n">
        <v>0.2</v>
      </c>
      <c r="M28" s="10" t="inlineStr">
        <is>
          <t>صغير</t>
        </is>
      </c>
      <c r="N28" s="11" t="inlineStr">
        <is>
          <t>طوال السنة</t>
        </is>
      </c>
      <c r="O28" s="11" t="inlineStr">
        <is>
          <t>لا</t>
        </is>
      </c>
      <c r="P28" s="15" t="n">
        <v>0.13</v>
      </c>
      <c r="Q28" s="14" t="n">
        <v>9</v>
      </c>
      <c r="R28" s="14" t="n">
        <v>50</v>
      </c>
      <c r="S28" s="16">
        <f>J28*'الافتراضات'!$B$2*(1+'الافتراضات'!$B$3)</f>
        <v/>
      </c>
      <c r="T28" s="16">
        <f>L28*'الافتراضات'!$B$4</f>
        <v/>
      </c>
      <c r="U28" s="16">
        <f>(S28+T28)*'الافتراضات'!$B$5</f>
        <v/>
      </c>
      <c r="V28" s="16">
        <f>S28+T28+U28</f>
        <v/>
      </c>
      <c r="W28" s="16">
        <f>MAX(1,E28*P28)</f>
        <v/>
      </c>
      <c r="X28" s="16">
        <f>E28*'الافتراضات'!$B$7</f>
        <v/>
      </c>
      <c r="Y28" s="16">
        <f>E28*'الافتراضات'!$B$8</f>
        <v/>
      </c>
      <c r="Z28" s="16">
        <f>E28/(1+'الافتراضات'!$B$6)</f>
        <v/>
      </c>
      <c r="AA28" s="16">
        <f>Z28-V28-W28-Q28-X28-Y28</f>
        <v/>
      </c>
      <c r="AB28" s="17">
        <f>IF(Z28=0,0,AA28/Z28)</f>
        <v/>
      </c>
      <c r="AC28" s="17">
        <f>IF(V28=0,0,AA28/V28)</f>
        <v/>
      </c>
      <c r="AD28" s="18">
        <f>R28*V28</f>
        <v/>
      </c>
      <c r="AE28" s="16">
        <f>IF(AB28&gt;='الافتراضات'!$B$9,IF(O28="لا","ابدأ به","جيد – يحتاج شهادة"),IF(AB28&gt;='الافتراضات'!$B$10,"مقبول","ضعيف"))</f>
        <v/>
      </c>
      <c r="AF28" s="16">
        <f>IF((1-'الافتراضات'!$B$9)/(1+'الافتراضات'!$B$6)-P28-'الافتراضات'!$B$7-'الافتراضات'!$B$8&lt;=0,0,(V28+Q28)/((1-'الافتراضات'!$B$9)/(1+'الافتراضات'!$B$6)-P28-'الافتراضات'!$B$7-'الافتراضات'!$B$8))</f>
        <v/>
      </c>
    </row>
    <row r="29">
      <c r="A29" s="10" t="n">
        <v>28</v>
      </c>
      <c r="B29" s="11" t="inlineStr">
        <is>
          <t>إكسسوارات الجوال والإلكترونيات</t>
        </is>
      </c>
      <c r="C29" s="11" t="inlineStr">
        <is>
          <t>ترايبود جوال 1.6 متر مع ريموت</t>
        </is>
      </c>
      <c r="D29" s="11" t="inlineStr">
        <is>
          <t>phone tripod 1.6m with remote</t>
        </is>
      </c>
      <c r="E29" s="12" t="n">
        <v>59</v>
      </c>
      <c r="F29" s="10" t="inlineStr">
        <is>
          <t>فعلي من نون</t>
        </is>
      </c>
      <c r="G29" s="10" t="inlineStr">
        <is>
          <t>فعلي: 25–129</t>
        </is>
      </c>
      <c r="H29" s="10" t="inlineStr">
        <is>
          <t>عالية</t>
        </is>
      </c>
      <c r="I29" s="10" t="inlineStr">
        <is>
          <t>مؤكد</t>
        </is>
      </c>
      <c r="J29" s="13" t="n">
        <v>4</v>
      </c>
      <c r="K29" s="11" t="inlineStr">
        <is>
          <t>تقدير</t>
        </is>
      </c>
      <c r="L29" s="14" t="n">
        <v>0.6</v>
      </c>
      <c r="M29" s="10" t="inlineStr">
        <is>
          <t>متوسط</t>
        </is>
      </c>
      <c r="N29" s="11" t="inlineStr">
        <is>
          <t>طوال السنة</t>
        </is>
      </c>
      <c r="O29" s="11" t="inlineStr">
        <is>
          <t>لا</t>
        </is>
      </c>
      <c r="P29" s="15" t="n">
        <v>0.15</v>
      </c>
      <c r="Q29" s="14" t="n">
        <v>10</v>
      </c>
      <c r="R29" s="14" t="n">
        <v>50</v>
      </c>
      <c r="S29" s="16">
        <f>J29*'الافتراضات'!$B$2*(1+'الافتراضات'!$B$3)</f>
        <v/>
      </c>
      <c r="T29" s="16">
        <f>L29*'الافتراضات'!$B$4</f>
        <v/>
      </c>
      <c r="U29" s="16">
        <f>(S29+T29)*'الافتراضات'!$B$5</f>
        <v/>
      </c>
      <c r="V29" s="16">
        <f>S29+T29+U29</f>
        <v/>
      </c>
      <c r="W29" s="16">
        <f>MAX(1,E29*P29)</f>
        <v/>
      </c>
      <c r="X29" s="16">
        <f>E29*'الافتراضات'!$B$7</f>
        <v/>
      </c>
      <c r="Y29" s="16">
        <f>E29*'الافتراضات'!$B$8</f>
        <v/>
      </c>
      <c r="Z29" s="16">
        <f>E29/(1+'الافتراضات'!$B$6)</f>
        <v/>
      </c>
      <c r="AA29" s="16">
        <f>Z29-V29-W29-Q29-X29-Y29</f>
        <v/>
      </c>
      <c r="AB29" s="17">
        <f>IF(Z29=0,0,AA29/Z29)</f>
        <v/>
      </c>
      <c r="AC29" s="17">
        <f>IF(V29=0,0,AA29/V29)</f>
        <v/>
      </c>
      <c r="AD29" s="18">
        <f>R29*V29</f>
        <v/>
      </c>
      <c r="AE29" s="16">
        <f>IF(AB29&gt;='الافتراضات'!$B$9,IF(O29="لا","ابدأ به","جيد – يحتاج شهادة"),IF(AB29&gt;='الافتراضات'!$B$10,"مقبول","ضعيف"))</f>
        <v/>
      </c>
      <c r="AF29" s="16">
        <f>IF((1-'الافتراضات'!$B$9)/(1+'الافتراضات'!$B$6)-P29-'الافتراضات'!$B$7-'الافتراضات'!$B$8&lt;=0,0,(V29+Q29)/((1-'الافتراضات'!$B$9)/(1+'الافتراضات'!$B$6)-P29-'الافتراضات'!$B$7-'الافتراضات'!$B$8))</f>
        <v/>
      </c>
    </row>
    <row r="30">
      <c r="A30" s="10" t="n">
        <v>29</v>
      </c>
      <c r="B30" s="11" t="inlineStr">
        <is>
          <t>إكسسوارات الجوال والإلكترونيات</t>
        </is>
      </c>
      <c r="C30" s="11" t="inlineStr">
        <is>
          <t>كيبل 3 في 1 للشحن</t>
        </is>
      </c>
      <c r="D30" s="11" t="inlineStr">
        <is>
          <t>3 in 1 charging cable</t>
        </is>
      </c>
      <c r="E30" s="12" t="n">
        <v>30</v>
      </c>
      <c r="F30" s="10" t="inlineStr">
        <is>
          <t>فعلي من نون</t>
        </is>
      </c>
      <c r="G30" s="10" t="inlineStr">
        <is>
          <t>فعلي: 20–69</t>
        </is>
      </c>
      <c r="H30" s="10" t="inlineStr">
        <is>
          <t>منخفضة</t>
        </is>
      </c>
      <c r="I30" s="10" t="inlineStr">
        <is>
          <t>مؤكد</t>
        </is>
      </c>
      <c r="J30" s="13" t="n">
        <v>1.47</v>
      </c>
      <c r="K30" s="11" t="inlineStr">
        <is>
          <t>سعر مصانع فعلي (14 قائمة)</t>
        </is>
      </c>
      <c r="L30" s="14" t="n">
        <v>0.08</v>
      </c>
      <c r="M30" s="10" t="inlineStr">
        <is>
          <t>صغير</t>
        </is>
      </c>
      <c r="N30" s="11" t="inlineStr">
        <is>
          <t>طوال السنة</t>
        </is>
      </c>
      <c r="O30" s="11" t="inlineStr">
        <is>
          <t>لا</t>
        </is>
      </c>
      <c r="P30" s="15" t="n">
        <v>0.2</v>
      </c>
      <c r="Q30" s="14" t="n">
        <v>8</v>
      </c>
      <c r="R30" s="14" t="n">
        <v>50</v>
      </c>
      <c r="S30" s="16">
        <f>J30*'الافتراضات'!$B$2*(1+'الافتراضات'!$B$3)</f>
        <v/>
      </c>
      <c r="T30" s="16">
        <f>L30*'الافتراضات'!$B$4</f>
        <v/>
      </c>
      <c r="U30" s="16">
        <f>(S30+T30)*'الافتراضات'!$B$5</f>
        <v/>
      </c>
      <c r="V30" s="16">
        <f>S30+T30+U30</f>
        <v/>
      </c>
      <c r="W30" s="16">
        <f>MAX(1,E30*P30)</f>
        <v/>
      </c>
      <c r="X30" s="16">
        <f>E30*'الافتراضات'!$B$7</f>
        <v/>
      </c>
      <c r="Y30" s="16">
        <f>E30*'الافتراضات'!$B$8</f>
        <v/>
      </c>
      <c r="Z30" s="16">
        <f>E30/(1+'الافتراضات'!$B$6)</f>
        <v/>
      </c>
      <c r="AA30" s="16">
        <f>Z30-V30-W30-Q30-X30-Y30</f>
        <v/>
      </c>
      <c r="AB30" s="17">
        <f>IF(Z30=0,0,AA30/Z30)</f>
        <v/>
      </c>
      <c r="AC30" s="17">
        <f>IF(V30=0,0,AA30/V30)</f>
        <v/>
      </c>
      <c r="AD30" s="18">
        <f>R30*V30</f>
        <v/>
      </c>
      <c r="AE30" s="16">
        <f>IF(AB30&gt;='الافتراضات'!$B$9,IF(O30="لا","ابدأ به","جيد – يحتاج شهادة"),IF(AB30&gt;='الافتراضات'!$B$10,"مقبول","ضعيف"))</f>
        <v/>
      </c>
      <c r="AF30" s="16">
        <f>IF((1-'الافتراضات'!$B$9)/(1+'الافتراضات'!$B$6)-P30-'الافتراضات'!$B$7-'الافتراضات'!$B$8&lt;=0,0,(V30+Q30)/((1-'الافتراضات'!$B$9)/(1+'الافتراضات'!$B$6)-P30-'الافتراضات'!$B$7-'الافتراضات'!$B$8))</f>
        <v/>
      </c>
    </row>
    <row r="31">
      <c r="A31" s="10" t="n">
        <v>30</v>
      </c>
      <c r="B31" s="11" t="inlineStr">
        <is>
          <t>إكسسوارات الجوال والإلكترونيات</t>
        </is>
      </c>
      <c r="C31" s="11" t="inlineStr">
        <is>
          <t>سماعة نوم لاسلكية بشريط</t>
        </is>
      </c>
      <c r="D31" s="11" t="inlineStr">
        <is>
          <t>sleep headband bluetooth headphones</t>
        </is>
      </c>
      <c r="E31" s="12" t="n">
        <v>57</v>
      </c>
      <c r="F31" s="10" t="inlineStr">
        <is>
          <t>فعلي من نون</t>
        </is>
      </c>
      <c r="G31" s="10" t="inlineStr">
        <is>
          <t>فعلي: 29–579</t>
        </is>
      </c>
      <c r="H31" s="10" t="inlineStr">
        <is>
          <t>عالية</t>
        </is>
      </c>
      <c r="I31" s="10" t="inlineStr">
        <is>
          <t>مؤكد</t>
        </is>
      </c>
      <c r="J31" s="13" t="n">
        <v>4.36</v>
      </c>
      <c r="K31" s="11" t="inlineStr">
        <is>
          <t>سعر مصانع فعلي (8 قائمة)</t>
        </is>
      </c>
      <c r="L31" s="14" t="n">
        <v>0.15</v>
      </c>
      <c r="M31" s="10" t="inlineStr">
        <is>
          <t>صغير</t>
        </is>
      </c>
      <c r="N31" s="11" t="inlineStr">
        <is>
          <t>طوال السنة</t>
        </is>
      </c>
      <c r="O31" s="11" t="inlineStr">
        <is>
          <t>SABER + بطارية ليثيوم</t>
        </is>
      </c>
      <c r="P31" s="15" t="n">
        <v>0.2</v>
      </c>
      <c r="Q31" s="14" t="n">
        <v>9</v>
      </c>
      <c r="R31" s="14" t="n">
        <v>50</v>
      </c>
      <c r="S31" s="16">
        <f>J31*'الافتراضات'!$B$2*(1+'الافتراضات'!$B$3)</f>
        <v/>
      </c>
      <c r="T31" s="16">
        <f>L31*'الافتراضات'!$B$4</f>
        <v/>
      </c>
      <c r="U31" s="16">
        <f>(S31+T31)*'الافتراضات'!$B$5</f>
        <v/>
      </c>
      <c r="V31" s="16">
        <f>S31+T31+U31</f>
        <v/>
      </c>
      <c r="W31" s="16">
        <f>MAX(1,E31*P31)</f>
        <v/>
      </c>
      <c r="X31" s="16">
        <f>E31*'الافتراضات'!$B$7</f>
        <v/>
      </c>
      <c r="Y31" s="16">
        <f>E31*'الافتراضات'!$B$8</f>
        <v/>
      </c>
      <c r="Z31" s="16">
        <f>E31/(1+'الافتراضات'!$B$6)</f>
        <v/>
      </c>
      <c r="AA31" s="16">
        <f>Z31-V31-W31-Q31-X31-Y31</f>
        <v/>
      </c>
      <c r="AB31" s="17">
        <f>IF(Z31=0,0,AA31/Z31)</f>
        <v/>
      </c>
      <c r="AC31" s="17">
        <f>IF(V31=0,0,AA31/V31)</f>
        <v/>
      </c>
      <c r="AD31" s="18">
        <f>R31*V31</f>
        <v/>
      </c>
      <c r="AE31" s="16">
        <f>IF(AB31&gt;='الافتراضات'!$B$9,IF(O31="لا","ابدأ به","جيد – يحتاج شهادة"),IF(AB31&gt;='الافتراضات'!$B$10,"مقبول","ضعيف"))</f>
        <v/>
      </c>
      <c r="AF31" s="16">
        <f>IF((1-'الافتراضات'!$B$9)/(1+'الافتراضات'!$B$6)-P31-'الافتراضات'!$B$7-'الافتراضات'!$B$8&lt;=0,0,(V31+Q31)/((1-'الافتراضات'!$B$9)/(1+'الافتراضات'!$B$6)-P31-'الافتراضات'!$B$7-'الافتراضات'!$B$8))</f>
        <v/>
      </c>
    </row>
    <row r="32">
      <c r="A32" s="10" t="n">
        <v>31</v>
      </c>
      <c r="B32" s="11" t="inlineStr">
        <is>
          <t>إكسسوارات الجوال والإلكترونيات</t>
        </is>
      </c>
      <c r="C32" s="11" t="inlineStr">
        <is>
          <t>سماعة بلوتوث محمولة مقاومة للماء</t>
        </is>
      </c>
      <c r="D32" s="11" t="inlineStr">
        <is>
          <t>waterproof portable bluetooth speaker</t>
        </is>
      </c>
      <c r="E32" s="12" t="n">
        <v>99</v>
      </c>
      <c r="F32" s="10" t="inlineStr">
        <is>
          <t>فعلي من نون</t>
        </is>
      </c>
      <c r="G32" s="10" t="inlineStr">
        <is>
          <t>فعلي: 52–399</t>
        </is>
      </c>
      <c r="H32" s="10" t="inlineStr">
        <is>
          <t>عالية</t>
        </is>
      </c>
      <c r="I32" s="10" t="inlineStr">
        <is>
          <t>مؤكد</t>
        </is>
      </c>
      <c r="J32" s="13" t="n">
        <v>11.5</v>
      </c>
      <c r="K32" s="11" t="inlineStr">
        <is>
          <t>سعر مصانع فعلي (9 قائمة)</t>
        </is>
      </c>
      <c r="L32" s="14" t="n">
        <v>0.4</v>
      </c>
      <c r="M32" s="10" t="inlineStr">
        <is>
          <t>متوسط</t>
        </is>
      </c>
      <c r="N32" s="11" t="inlineStr">
        <is>
          <t>طوال السنة</t>
        </is>
      </c>
      <c r="O32" s="11" t="inlineStr">
        <is>
          <t>SABER + بطارية ليثيوم</t>
        </is>
      </c>
      <c r="P32" s="15" t="n">
        <v>0.1</v>
      </c>
      <c r="Q32" s="14" t="n">
        <v>9.5</v>
      </c>
      <c r="R32" s="14" t="n">
        <v>50</v>
      </c>
      <c r="S32" s="16">
        <f>J32*'الافتراضات'!$B$2*(1+'الافتراضات'!$B$3)</f>
        <v/>
      </c>
      <c r="T32" s="16">
        <f>L32*'الافتراضات'!$B$4</f>
        <v/>
      </c>
      <c r="U32" s="16">
        <f>(S32+T32)*'الافتراضات'!$B$5</f>
        <v/>
      </c>
      <c r="V32" s="16">
        <f>S32+T32+U32</f>
        <v/>
      </c>
      <c r="W32" s="16">
        <f>MAX(1,E32*P32)</f>
        <v/>
      </c>
      <c r="X32" s="16">
        <f>E32*'الافتراضات'!$B$7</f>
        <v/>
      </c>
      <c r="Y32" s="16">
        <f>E32*'الافتراضات'!$B$8</f>
        <v/>
      </c>
      <c r="Z32" s="16">
        <f>E32/(1+'الافتراضات'!$B$6)</f>
        <v/>
      </c>
      <c r="AA32" s="16">
        <f>Z32-V32-W32-Q32-X32-Y32</f>
        <v/>
      </c>
      <c r="AB32" s="17">
        <f>IF(Z32=0,0,AA32/Z32)</f>
        <v/>
      </c>
      <c r="AC32" s="17">
        <f>IF(V32=0,0,AA32/V32)</f>
        <v/>
      </c>
      <c r="AD32" s="18">
        <f>R32*V32</f>
        <v/>
      </c>
      <c r="AE32" s="16">
        <f>IF(AB32&gt;='الافتراضات'!$B$9,IF(O32="لا","ابدأ به","جيد – يحتاج شهادة"),IF(AB32&gt;='الافتراضات'!$B$10,"مقبول","ضعيف"))</f>
        <v/>
      </c>
      <c r="AF32" s="16">
        <f>IF((1-'الافتراضات'!$B$9)/(1+'الافتراضات'!$B$6)-P32-'الافتراضات'!$B$7-'الافتراضات'!$B$8&lt;=0,0,(V32+Q32)/((1-'الافتراضات'!$B$9)/(1+'الافتراضات'!$B$6)-P32-'الافتراضات'!$B$7-'الافتراضات'!$B$8))</f>
        <v/>
      </c>
    </row>
    <row r="33">
      <c r="A33" s="10" t="n">
        <v>32</v>
      </c>
      <c r="B33" s="11" t="inlineStr">
        <is>
          <t>إكسسوارات الجوال والإلكترونيات</t>
        </is>
      </c>
      <c r="C33" s="11" t="inlineStr">
        <is>
          <t>محول USB-C إلى HDMI</t>
        </is>
      </c>
      <c r="D33" s="11" t="inlineStr">
        <is>
          <t>USB-C to HDMI adapter 4K</t>
        </is>
      </c>
      <c r="E33" s="12" t="n">
        <v>40</v>
      </c>
      <c r="F33" s="10" t="inlineStr">
        <is>
          <t>فعلي من نون</t>
        </is>
      </c>
      <c r="G33" s="10" t="inlineStr">
        <is>
          <t>فعلي: 35–60</t>
        </is>
      </c>
      <c r="H33" s="10" t="inlineStr">
        <is>
          <t>عالية</t>
        </is>
      </c>
      <c r="I33" s="10" t="inlineStr">
        <is>
          <t>مؤكد</t>
        </is>
      </c>
      <c r="J33" s="13" t="n">
        <v>3.63</v>
      </c>
      <c r="K33" s="11" t="inlineStr">
        <is>
          <t>سعر مصانع فعلي (15 قائمة)</t>
        </is>
      </c>
      <c r="L33" s="14" t="n">
        <v>0.08</v>
      </c>
      <c r="M33" s="10" t="inlineStr">
        <is>
          <t>صغير</t>
        </is>
      </c>
      <c r="N33" s="11" t="inlineStr">
        <is>
          <t>طوال السنة</t>
        </is>
      </c>
      <c r="O33" s="11" t="inlineStr">
        <is>
          <t>SABER</t>
        </is>
      </c>
      <c r="P33" s="15" t="n">
        <v>0.13</v>
      </c>
      <c r="Q33" s="14" t="n">
        <v>8</v>
      </c>
      <c r="R33" s="14" t="n">
        <v>50</v>
      </c>
      <c r="S33" s="16">
        <f>J33*'الافتراضات'!$B$2*(1+'الافتراضات'!$B$3)</f>
        <v/>
      </c>
      <c r="T33" s="16">
        <f>L33*'الافتراضات'!$B$4</f>
        <v/>
      </c>
      <c r="U33" s="16">
        <f>(S33+T33)*'الافتراضات'!$B$5</f>
        <v/>
      </c>
      <c r="V33" s="16">
        <f>S33+T33+U33</f>
        <v/>
      </c>
      <c r="W33" s="16">
        <f>MAX(1,E33*P33)</f>
        <v/>
      </c>
      <c r="X33" s="16">
        <f>E33*'الافتراضات'!$B$7</f>
        <v/>
      </c>
      <c r="Y33" s="16">
        <f>E33*'الافتراضات'!$B$8</f>
        <v/>
      </c>
      <c r="Z33" s="16">
        <f>E33/(1+'الافتراضات'!$B$6)</f>
        <v/>
      </c>
      <c r="AA33" s="16">
        <f>Z33-V33-W33-Q33-X33-Y33</f>
        <v/>
      </c>
      <c r="AB33" s="17">
        <f>IF(Z33=0,0,AA33/Z33)</f>
        <v/>
      </c>
      <c r="AC33" s="17">
        <f>IF(V33=0,0,AA33/V33)</f>
        <v/>
      </c>
      <c r="AD33" s="18">
        <f>R33*V33</f>
        <v/>
      </c>
      <c r="AE33" s="16">
        <f>IF(AB33&gt;='الافتراضات'!$B$9,IF(O33="لا","ابدأ به","جيد – يحتاج شهادة"),IF(AB33&gt;='الافتراضات'!$B$10,"مقبول","ضعيف"))</f>
        <v/>
      </c>
      <c r="AF33" s="16">
        <f>IF((1-'الافتراضات'!$B$9)/(1+'الافتراضات'!$B$6)-P33-'الافتراضات'!$B$7-'الافتراضات'!$B$8&lt;=0,0,(V33+Q33)/((1-'الافتراضات'!$B$9)/(1+'الافتراضات'!$B$6)-P33-'الافتراضات'!$B$7-'الافتراضات'!$B$8))</f>
        <v/>
      </c>
    </row>
    <row r="34">
      <c r="A34" s="10" t="n">
        <v>33</v>
      </c>
      <c r="B34" s="11" t="inlineStr">
        <is>
          <t>إكسسوارات الجوال والإلكترونيات</t>
        </is>
      </c>
      <c r="C34" s="11" t="inlineStr">
        <is>
          <t>باور بانك بكيبل مدمج</t>
        </is>
      </c>
      <c r="D34" s="11" t="inlineStr">
        <is>
          <t>power bank built in cable 10000mAh</t>
        </is>
      </c>
      <c r="E34" s="12" t="n">
        <v>65</v>
      </c>
      <c r="F34" s="10" t="inlineStr">
        <is>
          <t>فعلي من نون</t>
        </is>
      </c>
      <c r="G34" s="10" t="inlineStr">
        <is>
          <t>فعلي: 45–199</t>
        </is>
      </c>
      <c r="H34" s="10" t="inlineStr">
        <is>
          <t>متوسطة</t>
        </is>
      </c>
      <c r="I34" s="10" t="inlineStr">
        <is>
          <t>مؤكد</t>
        </is>
      </c>
      <c r="J34" s="13" t="n">
        <v>6.74</v>
      </c>
      <c r="K34" s="11" t="inlineStr">
        <is>
          <t>سعر مصانع فعلي (15 قائمة)</t>
        </is>
      </c>
      <c r="L34" s="14" t="n">
        <v>0.3</v>
      </c>
      <c r="M34" s="10" t="inlineStr">
        <is>
          <t>صغير</t>
        </is>
      </c>
      <c r="N34" s="11" t="inlineStr">
        <is>
          <t>طوال السنة</t>
        </is>
      </c>
      <c r="O34" s="11" t="inlineStr">
        <is>
          <t>SABER + بطارية ليثيوم</t>
        </is>
      </c>
      <c r="P34" s="15" t="n">
        <v>0.15</v>
      </c>
      <c r="Q34" s="14" t="n">
        <v>9.5</v>
      </c>
      <c r="R34" s="14" t="n">
        <v>50</v>
      </c>
      <c r="S34" s="16">
        <f>J34*'الافتراضات'!$B$2*(1+'الافتراضات'!$B$3)</f>
        <v/>
      </c>
      <c r="T34" s="16">
        <f>L34*'الافتراضات'!$B$4</f>
        <v/>
      </c>
      <c r="U34" s="16">
        <f>(S34+T34)*'الافتراضات'!$B$5</f>
        <v/>
      </c>
      <c r="V34" s="16">
        <f>S34+T34+U34</f>
        <v/>
      </c>
      <c r="W34" s="16">
        <f>MAX(1,E34*P34)</f>
        <v/>
      </c>
      <c r="X34" s="16">
        <f>E34*'الافتراضات'!$B$7</f>
        <v/>
      </c>
      <c r="Y34" s="16">
        <f>E34*'الافتراضات'!$B$8</f>
        <v/>
      </c>
      <c r="Z34" s="16">
        <f>E34/(1+'الافتراضات'!$B$6)</f>
        <v/>
      </c>
      <c r="AA34" s="16">
        <f>Z34-V34-W34-Q34-X34-Y34</f>
        <v/>
      </c>
      <c r="AB34" s="17">
        <f>IF(Z34=0,0,AA34/Z34)</f>
        <v/>
      </c>
      <c r="AC34" s="17">
        <f>IF(V34=0,0,AA34/V34)</f>
        <v/>
      </c>
      <c r="AD34" s="18">
        <f>R34*V34</f>
        <v/>
      </c>
      <c r="AE34" s="16">
        <f>IF(AB34&gt;='الافتراضات'!$B$9,IF(O34="لا","ابدأ به","جيد – يحتاج شهادة"),IF(AB34&gt;='الافتراضات'!$B$10,"مقبول","ضعيف"))</f>
        <v/>
      </c>
      <c r="AF34" s="16">
        <f>IF((1-'الافتراضات'!$B$9)/(1+'الافتراضات'!$B$6)-P34-'الافتراضات'!$B$7-'الافتراضات'!$B$8&lt;=0,0,(V34+Q34)/((1-'الافتراضات'!$B$9)/(1+'الافتراضات'!$B$6)-P34-'الافتراضات'!$B$7-'الافتراضات'!$B$8))</f>
        <v/>
      </c>
    </row>
    <row r="35">
      <c r="A35" s="10" t="n">
        <v>34</v>
      </c>
      <c r="B35" s="11" t="inlineStr">
        <is>
          <t>إكسسوارات الجوال والإلكترونيات</t>
        </is>
      </c>
      <c r="C35" s="11" t="inlineStr">
        <is>
          <t>هاب USB 3.0 أربع منافذ</t>
        </is>
      </c>
      <c r="D35" s="11" t="inlineStr">
        <is>
          <t>USB 3.0 hub 4 port</t>
        </is>
      </c>
      <c r="E35" s="12" t="n">
        <v>25</v>
      </c>
      <c r="F35" s="10" t="inlineStr">
        <is>
          <t>فعلي من نون</t>
        </is>
      </c>
      <c r="G35" s="10" t="inlineStr">
        <is>
          <t>فعلي: 13–57</t>
        </is>
      </c>
      <c r="H35" s="10" t="inlineStr">
        <is>
          <t>متوسطة</t>
        </is>
      </c>
      <c r="I35" s="10" t="inlineStr">
        <is>
          <t>مؤكد</t>
        </is>
      </c>
      <c r="J35" s="13" t="n">
        <v>2.2</v>
      </c>
      <c r="K35" s="11" t="inlineStr">
        <is>
          <t>تقدير</t>
        </is>
      </c>
      <c r="L35" s="14" t="n">
        <v>0.1</v>
      </c>
      <c r="M35" s="10" t="inlineStr">
        <is>
          <t>صغير</t>
        </is>
      </c>
      <c r="N35" s="11" t="inlineStr">
        <is>
          <t>طوال السنة</t>
        </is>
      </c>
      <c r="O35" s="11" t="inlineStr">
        <is>
          <t>SABER</t>
        </is>
      </c>
      <c r="P35" s="15" t="n">
        <v>0.13</v>
      </c>
      <c r="Q35" s="14" t="n">
        <v>6</v>
      </c>
      <c r="R35" s="14" t="n">
        <v>50</v>
      </c>
      <c r="S35" s="16">
        <f>J35*'الافتراضات'!$B$2*(1+'الافتراضات'!$B$3)</f>
        <v/>
      </c>
      <c r="T35" s="16">
        <f>L35*'الافتراضات'!$B$4</f>
        <v/>
      </c>
      <c r="U35" s="16">
        <f>(S35+T35)*'الافتراضات'!$B$5</f>
        <v/>
      </c>
      <c r="V35" s="16">
        <f>S35+T35+U35</f>
        <v/>
      </c>
      <c r="W35" s="16">
        <f>MAX(1,E35*P35)</f>
        <v/>
      </c>
      <c r="X35" s="16">
        <f>E35*'الافتراضات'!$B$7</f>
        <v/>
      </c>
      <c r="Y35" s="16">
        <f>E35*'الافتراضات'!$B$8</f>
        <v/>
      </c>
      <c r="Z35" s="16">
        <f>E35/(1+'الافتراضات'!$B$6)</f>
        <v/>
      </c>
      <c r="AA35" s="16">
        <f>Z35-V35-W35-Q35-X35-Y35</f>
        <v/>
      </c>
      <c r="AB35" s="17">
        <f>IF(Z35=0,0,AA35/Z35)</f>
        <v/>
      </c>
      <c r="AC35" s="17">
        <f>IF(V35=0,0,AA35/V35)</f>
        <v/>
      </c>
      <c r="AD35" s="18">
        <f>R35*V35</f>
        <v/>
      </c>
      <c r="AE35" s="16">
        <f>IF(AB35&gt;='الافتراضات'!$B$9,IF(O35="لا","ابدأ به","جيد – يحتاج شهادة"),IF(AB35&gt;='الافتراضات'!$B$10,"مقبول","ضعيف"))</f>
        <v/>
      </c>
      <c r="AF35" s="16">
        <f>IF((1-'الافتراضات'!$B$9)/(1+'الافتراضات'!$B$6)-P35-'الافتراضات'!$B$7-'الافتراضات'!$B$8&lt;=0,0,(V35+Q35)/((1-'الافتراضات'!$B$9)/(1+'الافتراضات'!$B$6)-P35-'الافتراضات'!$B$7-'الافتراضات'!$B$8))</f>
        <v/>
      </c>
    </row>
    <row r="36">
      <c r="A36" s="10" t="n">
        <v>35</v>
      </c>
      <c r="B36" s="11" t="inlineStr">
        <is>
          <t>إكسسوارات الجوال والإلكترونيات</t>
        </is>
      </c>
      <c r="C36" s="11" t="inlineStr">
        <is>
          <t>سماعات كمبيوتر مكتبية صغيرة</t>
        </is>
      </c>
      <c r="D36" s="11" t="inlineStr">
        <is>
          <t>USB desktop speakers</t>
        </is>
      </c>
      <c r="E36" s="12" t="n">
        <v>58</v>
      </c>
      <c r="F36" s="10" t="inlineStr">
        <is>
          <t>فعلي من نون</t>
        </is>
      </c>
      <c r="G36" s="10" t="inlineStr">
        <is>
          <t>فعلي: 38–219</t>
        </is>
      </c>
      <c r="H36" s="10" t="inlineStr">
        <is>
          <t>عالية</t>
        </is>
      </c>
      <c r="I36" s="10" t="inlineStr">
        <is>
          <t>مؤكد</t>
        </is>
      </c>
      <c r="J36" s="13" t="n">
        <v>6</v>
      </c>
      <c r="K36" s="11" t="inlineStr">
        <is>
          <t>سعر مصانع فعلي (7 قائمة)</t>
        </is>
      </c>
      <c r="L36" s="14" t="n">
        <v>0.7</v>
      </c>
      <c r="M36" s="10" t="inlineStr">
        <is>
          <t>متوسط</t>
        </is>
      </c>
      <c r="N36" s="11" t="inlineStr">
        <is>
          <t>طوال السنة</t>
        </is>
      </c>
      <c r="O36" s="11" t="inlineStr">
        <is>
          <t>SABER</t>
        </is>
      </c>
      <c r="P36" s="15" t="n">
        <v>0.1</v>
      </c>
      <c r="Q36" s="14" t="n">
        <v>10</v>
      </c>
      <c r="R36" s="14" t="n">
        <v>50</v>
      </c>
      <c r="S36" s="16">
        <f>J36*'الافتراضات'!$B$2*(1+'الافتراضات'!$B$3)</f>
        <v/>
      </c>
      <c r="T36" s="16">
        <f>L36*'الافتراضات'!$B$4</f>
        <v/>
      </c>
      <c r="U36" s="16">
        <f>(S36+T36)*'الافتراضات'!$B$5</f>
        <v/>
      </c>
      <c r="V36" s="16">
        <f>S36+T36+U36</f>
        <v/>
      </c>
      <c r="W36" s="16">
        <f>MAX(1,E36*P36)</f>
        <v/>
      </c>
      <c r="X36" s="16">
        <f>E36*'الافتراضات'!$B$7</f>
        <v/>
      </c>
      <c r="Y36" s="16">
        <f>E36*'الافتراضات'!$B$8</f>
        <v/>
      </c>
      <c r="Z36" s="16">
        <f>E36/(1+'الافتراضات'!$B$6)</f>
        <v/>
      </c>
      <c r="AA36" s="16">
        <f>Z36-V36-W36-Q36-X36-Y36</f>
        <v/>
      </c>
      <c r="AB36" s="17">
        <f>IF(Z36=0,0,AA36/Z36)</f>
        <v/>
      </c>
      <c r="AC36" s="17">
        <f>IF(V36=0,0,AA36/V36)</f>
        <v/>
      </c>
      <c r="AD36" s="18">
        <f>R36*V36</f>
        <v/>
      </c>
      <c r="AE36" s="16">
        <f>IF(AB36&gt;='الافتراضات'!$B$9,IF(O36="لا","ابدأ به","جيد – يحتاج شهادة"),IF(AB36&gt;='الافتراضات'!$B$10,"مقبول","ضعيف"))</f>
        <v/>
      </c>
      <c r="AF36" s="16">
        <f>IF((1-'الافتراضات'!$B$9)/(1+'الافتراضات'!$B$6)-P36-'الافتراضات'!$B$7-'الافتراضات'!$B$8&lt;=0,0,(V36+Q36)/((1-'الافتراضات'!$B$9)/(1+'الافتراضات'!$B$6)-P36-'الافتراضات'!$B$7-'الافتراضات'!$B$8))</f>
        <v/>
      </c>
    </row>
    <row r="37">
      <c r="A37" s="10" t="n">
        <v>36</v>
      </c>
      <c r="B37" s="11" t="inlineStr">
        <is>
          <t>إكسسوارات الجوال والإلكترونيات</t>
        </is>
      </c>
      <c r="C37" s="11" t="inlineStr">
        <is>
          <t>ستاند شحن لاسلكي 3 في 1</t>
        </is>
      </c>
      <c r="D37" s="11" t="inlineStr">
        <is>
          <t>3 in 1 wireless charging station</t>
        </is>
      </c>
      <c r="E37" s="12" t="n">
        <v>79</v>
      </c>
      <c r="F37" s="10" t="inlineStr">
        <is>
          <t>فعلي من نون</t>
        </is>
      </c>
      <c r="G37" s="10" t="inlineStr">
        <is>
          <t>فعلي: 55–299</t>
        </is>
      </c>
      <c r="H37" s="10" t="inlineStr">
        <is>
          <t>منخفضة</t>
        </is>
      </c>
      <c r="I37" s="10" t="inlineStr">
        <is>
          <t>مؤكد</t>
        </is>
      </c>
      <c r="J37" s="13" t="n">
        <v>9.75</v>
      </c>
      <c r="K37" s="11" t="inlineStr">
        <is>
          <t>سعر مصانع فعلي (15 قائمة)</t>
        </is>
      </c>
      <c r="L37" s="14" t="n">
        <v>0.45</v>
      </c>
      <c r="M37" s="10" t="inlineStr">
        <is>
          <t>متوسط</t>
        </is>
      </c>
      <c r="N37" s="11" t="inlineStr">
        <is>
          <t>طوال السنة</t>
        </is>
      </c>
      <c r="O37" s="11" t="inlineStr">
        <is>
          <t>SABER + بطارية ليثيوم</t>
        </is>
      </c>
      <c r="P37" s="15" t="n">
        <v>0.15</v>
      </c>
      <c r="Q37" s="14" t="n">
        <v>9.5</v>
      </c>
      <c r="R37" s="14" t="n">
        <v>50</v>
      </c>
      <c r="S37" s="16">
        <f>J37*'الافتراضات'!$B$2*(1+'الافتراضات'!$B$3)</f>
        <v/>
      </c>
      <c r="T37" s="16">
        <f>L37*'الافتراضات'!$B$4</f>
        <v/>
      </c>
      <c r="U37" s="16">
        <f>(S37+T37)*'الافتراضات'!$B$5</f>
        <v/>
      </c>
      <c r="V37" s="16">
        <f>S37+T37+U37</f>
        <v/>
      </c>
      <c r="W37" s="16">
        <f>MAX(1,E37*P37)</f>
        <v/>
      </c>
      <c r="X37" s="16">
        <f>E37*'الافتراضات'!$B$7</f>
        <v/>
      </c>
      <c r="Y37" s="16">
        <f>E37*'الافتراضات'!$B$8</f>
        <v/>
      </c>
      <c r="Z37" s="16">
        <f>E37/(1+'الافتراضات'!$B$6)</f>
        <v/>
      </c>
      <c r="AA37" s="16">
        <f>Z37-V37-W37-Q37-X37-Y37</f>
        <v/>
      </c>
      <c r="AB37" s="17">
        <f>IF(Z37=0,0,AA37/Z37)</f>
        <v/>
      </c>
      <c r="AC37" s="17">
        <f>IF(V37=0,0,AA37/V37)</f>
        <v/>
      </c>
      <c r="AD37" s="18">
        <f>R37*V37</f>
        <v/>
      </c>
      <c r="AE37" s="16">
        <f>IF(AB37&gt;='الافتراضات'!$B$9,IF(O37="لا","ابدأ به","جيد – يحتاج شهادة"),IF(AB37&gt;='الافتراضات'!$B$10,"مقبول","ضعيف"))</f>
        <v/>
      </c>
      <c r="AF37" s="16">
        <f>IF((1-'الافتراضات'!$B$9)/(1+'الافتراضات'!$B$6)-P37-'الافتراضات'!$B$7-'الافتراضات'!$B$8&lt;=0,0,(V37+Q37)/((1-'الافتراضات'!$B$9)/(1+'الافتراضات'!$B$6)-P37-'الافتراضات'!$B$7-'الافتراضات'!$B$8))</f>
        <v/>
      </c>
    </row>
    <row r="38">
      <c r="A38" s="10" t="n">
        <v>37</v>
      </c>
      <c r="B38" s="11" t="inlineStr">
        <is>
          <t>إكسسوارات الجوال والإلكترونيات</t>
        </is>
      </c>
      <c r="C38" s="11" t="inlineStr">
        <is>
          <t>سماعة بلوتوث أحادية للقيادة</t>
        </is>
      </c>
      <c r="D38" s="11" t="inlineStr">
        <is>
          <t>bluetooth headset single ear driving</t>
        </is>
      </c>
      <c r="E38" s="12" t="n">
        <v>66</v>
      </c>
      <c r="F38" s="10" t="inlineStr">
        <is>
          <t>فعلي من نون</t>
        </is>
      </c>
      <c r="G38" s="10" t="inlineStr">
        <is>
          <t>فعلي: 25–107</t>
        </is>
      </c>
      <c r="H38" s="10" t="inlineStr">
        <is>
          <t>منخفضة</t>
        </is>
      </c>
      <c r="I38" s="10" t="inlineStr">
        <is>
          <t>مؤكد</t>
        </is>
      </c>
      <c r="J38" s="13" t="n">
        <v>7.99</v>
      </c>
      <c r="K38" s="11" t="inlineStr">
        <is>
          <t>سعر مصانع فعلي (13 قائمة)</t>
        </is>
      </c>
      <c r="L38" s="14" t="n">
        <v>0.1</v>
      </c>
      <c r="M38" s="10" t="inlineStr">
        <is>
          <t>صغير</t>
        </is>
      </c>
      <c r="N38" s="11" t="inlineStr">
        <is>
          <t>طوال السنة</t>
        </is>
      </c>
      <c r="O38" s="11" t="inlineStr">
        <is>
          <t>SABER + بطارية ليثيوم</t>
        </is>
      </c>
      <c r="P38" s="15" t="n">
        <v>0.2</v>
      </c>
      <c r="Q38" s="14" t="n">
        <v>8</v>
      </c>
      <c r="R38" s="14" t="n">
        <v>50</v>
      </c>
      <c r="S38" s="16">
        <f>J38*'الافتراضات'!$B$2*(1+'الافتراضات'!$B$3)</f>
        <v/>
      </c>
      <c r="T38" s="16">
        <f>L38*'الافتراضات'!$B$4</f>
        <v/>
      </c>
      <c r="U38" s="16">
        <f>(S38+T38)*'الافتراضات'!$B$5</f>
        <v/>
      </c>
      <c r="V38" s="16">
        <f>S38+T38+U38</f>
        <v/>
      </c>
      <c r="W38" s="16">
        <f>MAX(1,E38*P38)</f>
        <v/>
      </c>
      <c r="X38" s="16">
        <f>E38*'الافتراضات'!$B$7</f>
        <v/>
      </c>
      <c r="Y38" s="16">
        <f>E38*'الافتراضات'!$B$8</f>
        <v/>
      </c>
      <c r="Z38" s="16">
        <f>E38/(1+'الافتراضات'!$B$6)</f>
        <v/>
      </c>
      <c r="AA38" s="16">
        <f>Z38-V38-W38-Q38-X38-Y38</f>
        <v/>
      </c>
      <c r="AB38" s="17">
        <f>IF(Z38=0,0,AA38/Z38)</f>
        <v/>
      </c>
      <c r="AC38" s="17">
        <f>IF(V38=0,0,AA38/V38)</f>
        <v/>
      </c>
      <c r="AD38" s="18">
        <f>R38*V38</f>
        <v/>
      </c>
      <c r="AE38" s="16">
        <f>IF(AB38&gt;='الافتراضات'!$B$9,IF(O38="لا","ابدأ به","جيد – يحتاج شهادة"),IF(AB38&gt;='الافتراضات'!$B$10,"مقبول","ضعيف"))</f>
        <v/>
      </c>
      <c r="AF38" s="16">
        <f>IF((1-'الافتراضات'!$B$9)/(1+'الافتراضات'!$B$6)-P38-'الافتراضات'!$B$7-'الافتراضات'!$B$8&lt;=0,0,(V38+Q38)/((1-'الافتراضات'!$B$9)/(1+'الافتراضات'!$B$6)-P38-'الافتراضات'!$B$7-'الافتراضات'!$B$8))</f>
        <v/>
      </c>
    </row>
    <row r="39">
      <c r="A39" s="10" t="n">
        <v>38</v>
      </c>
      <c r="B39" s="11" t="inlineStr">
        <is>
          <t>إكسسوارات الجوال والإلكترونيات</t>
        </is>
      </c>
      <c r="C39" s="11" t="inlineStr">
        <is>
          <t>ستاند جوال وتابلت ألمنيوم</t>
        </is>
      </c>
      <c r="D39" s="11" t="inlineStr">
        <is>
          <t>aluminum phone tablet stand</t>
        </is>
      </c>
      <c r="E39" s="12" t="n">
        <v>33</v>
      </c>
      <c r="F39" s="10" t="inlineStr">
        <is>
          <t>فعلي من نون</t>
        </is>
      </c>
      <c r="G39" s="10" t="inlineStr">
        <is>
          <t>فعلي: 20–162</t>
        </is>
      </c>
      <c r="H39" s="10" t="inlineStr">
        <is>
          <t>متوسطة</t>
        </is>
      </c>
      <c r="I39" s="10" t="inlineStr">
        <is>
          <t>مؤكد</t>
        </is>
      </c>
      <c r="J39" s="13" t="n">
        <v>2.2</v>
      </c>
      <c r="K39" s="11" t="inlineStr">
        <is>
          <t>تقدير</t>
        </is>
      </c>
      <c r="L39" s="14" t="n">
        <v>0.35</v>
      </c>
      <c r="M39" s="10" t="inlineStr">
        <is>
          <t>صغير</t>
        </is>
      </c>
      <c r="N39" s="11" t="inlineStr">
        <is>
          <t>طوال السنة</t>
        </is>
      </c>
      <c r="O39" s="11" t="inlineStr">
        <is>
          <t>لا</t>
        </is>
      </c>
      <c r="P39" s="15" t="n">
        <v>0.2</v>
      </c>
      <c r="Q39" s="14" t="n">
        <v>9.5</v>
      </c>
      <c r="R39" s="14" t="n">
        <v>50</v>
      </c>
      <c r="S39" s="16">
        <f>J39*'الافتراضات'!$B$2*(1+'الافتراضات'!$B$3)</f>
        <v/>
      </c>
      <c r="T39" s="16">
        <f>L39*'الافتراضات'!$B$4</f>
        <v/>
      </c>
      <c r="U39" s="16">
        <f>(S39+T39)*'الافتراضات'!$B$5</f>
        <v/>
      </c>
      <c r="V39" s="16">
        <f>S39+T39+U39</f>
        <v/>
      </c>
      <c r="W39" s="16">
        <f>MAX(1,E39*P39)</f>
        <v/>
      </c>
      <c r="X39" s="16">
        <f>E39*'الافتراضات'!$B$7</f>
        <v/>
      </c>
      <c r="Y39" s="16">
        <f>E39*'الافتراضات'!$B$8</f>
        <v/>
      </c>
      <c r="Z39" s="16">
        <f>E39/(1+'الافتراضات'!$B$6)</f>
        <v/>
      </c>
      <c r="AA39" s="16">
        <f>Z39-V39-W39-Q39-X39-Y39</f>
        <v/>
      </c>
      <c r="AB39" s="17">
        <f>IF(Z39=0,0,AA39/Z39)</f>
        <v/>
      </c>
      <c r="AC39" s="17">
        <f>IF(V39=0,0,AA39/V39)</f>
        <v/>
      </c>
      <c r="AD39" s="18">
        <f>R39*V39</f>
        <v/>
      </c>
      <c r="AE39" s="16">
        <f>IF(AB39&gt;='الافتراضات'!$B$9,IF(O39="لا","ابدأ به","جيد – يحتاج شهادة"),IF(AB39&gt;='الافتراضات'!$B$10,"مقبول","ضعيف"))</f>
        <v/>
      </c>
      <c r="AF39" s="16">
        <f>IF((1-'الافتراضات'!$B$9)/(1+'الافتراضات'!$B$6)-P39-'الافتراضات'!$B$7-'الافتراضات'!$B$8&lt;=0,0,(V39+Q39)/((1-'الافتراضات'!$B$9)/(1+'الافتراضات'!$B$6)-P39-'الافتراضات'!$B$7-'الافتراضات'!$B$8))</f>
        <v/>
      </c>
    </row>
    <row r="40">
      <c r="A40" s="10" t="n">
        <v>39</v>
      </c>
      <c r="B40" s="11" t="inlineStr">
        <is>
          <t>إكسسوارات الجوال والإلكترونيات</t>
        </is>
      </c>
      <c r="C40" s="11" t="inlineStr">
        <is>
          <t>سماعات ألعاب سلكية RGB</t>
        </is>
      </c>
      <c r="D40" s="11" t="inlineStr">
        <is>
          <t>gaming headset RGB wired</t>
        </is>
      </c>
      <c r="E40" s="12" t="n">
        <v>68</v>
      </c>
      <c r="F40" s="10" t="inlineStr">
        <is>
          <t>فعلي من نون</t>
        </is>
      </c>
      <c r="G40" s="10" t="inlineStr">
        <is>
          <t>فعلي: 55–219</t>
        </is>
      </c>
      <c r="H40" s="10" t="inlineStr">
        <is>
          <t>متوسطة</t>
        </is>
      </c>
      <c r="I40" s="10" t="inlineStr">
        <is>
          <t>مؤكد</t>
        </is>
      </c>
      <c r="J40" s="13" t="n">
        <v>7.45</v>
      </c>
      <c r="K40" s="11" t="inlineStr">
        <is>
          <t>سعر مصانع فعلي (3 قائمة)</t>
        </is>
      </c>
      <c r="L40" s="14" t="n">
        <v>0.5</v>
      </c>
      <c r="M40" s="10" t="inlineStr">
        <is>
          <t>متوسط</t>
        </is>
      </c>
      <c r="N40" s="11" t="inlineStr">
        <is>
          <t>طوال السنة</t>
        </is>
      </c>
      <c r="O40" s="11" t="inlineStr">
        <is>
          <t>SABER</t>
        </is>
      </c>
      <c r="P40" s="15" t="n">
        <v>0.2</v>
      </c>
      <c r="Q40" s="14" t="n">
        <v>9.5</v>
      </c>
      <c r="R40" s="14" t="n">
        <v>50</v>
      </c>
      <c r="S40" s="16">
        <f>J40*'الافتراضات'!$B$2*(1+'الافتراضات'!$B$3)</f>
        <v/>
      </c>
      <c r="T40" s="16">
        <f>L40*'الافتراضات'!$B$4</f>
        <v/>
      </c>
      <c r="U40" s="16">
        <f>(S40+T40)*'الافتراضات'!$B$5</f>
        <v/>
      </c>
      <c r="V40" s="16">
        <f>S40+T40+U40</f>
        <v/>
      </c>
      <c r="W40" s="16">
        <f>MAX(1,E40*P40)</f>
        <v/>
      </c>
      <c r="X40" s="16">
        <f>E40*'الافتراضات'!$B$7</f>
        <v/>
      </c>
      <c r="Y40" s="16">
        <f>E40*'الافتراضات'!$B$8</f>
        <v/>
      </c>
      <c r="Z40" s="16">
        <f>E40/(1+'الافتراضات'!$B$6)</f>
        <v/>
      </c>
      <c r="AA40" s="16">
        <f>Z40-V40-W40-Q40-X40-Y40</f>
        <v/>
      </c>
      <c r="AB40" s="17">
        <f>IF(Z40=0,0,AA40/Z40)</f>
        <v/>
      </c>
      <c r="AC40" s="17">
        <f>IF(V40=0,0,AA40/V40)</f>
        <v/>
      </c>
      <c r="AD40" s="18">
        <f>R40*V40</f>
        <v/>
      </c>
      <c r="AE40" s="16">
        <f>IF(AB40&gt;='الافتراضات'!$B$9,IF(O40="لا","ابدأ به","جيد – يحتاج شهادة"),IF(AB40&gt;='الافتراضات'!$B$10,"مقبول","ضعيف"))</f>
        <v/>
      </c>
      <c r="AF40" s="16">
        <f>IF((1-'الافتراضات'!$B$9)/(1+'الافتراضات'!$B$6)-P40-'الافتراضات'!$B$7-'الافتراضات'!$B$8&lt;=0,0,(V40+Q40)/((1-'الافتراضات'!$B$9)/(1+'الافتراضات'!$B$6)-P40-'الافتراضات'!$B$7-'الافتراضات'!$B$8))</f>
        <v/>
      </c>
    </row>
    <row r="41">
      <c r="A41" s="10" t="n">
        <v>40</v>
      </c>
      <c r="B41" s="11" t="inlineStr">
        <is>
          <t>إكسسوارات الجوال والإلكترونيات</t>
        </is>
      </c>
      <c r="C41" s="11" t="inlineStr">
        <is>
          <t>كاميرا ويب 1080p مع ميكروفون</t>
        </is>
      </c>
      <c r="D41" s="11" t="inlineStr">
        <is>
          <t>webcam 1080p microphone</t>
        </is>
      </c>
      <c r="E41" s="12" t="n">
        <v>60</v>
      </c>
      <c r="F41" s="10" t="inlineStr">
        <is>
          <t>فعلي من نون</t>
        </is>
      </c>
      <c r="G41" s="10" t="inlineStr">
        <is>
          <t>فعلي: 41–300</t>
        </is>
      </c>
      <c r="H41" s="10" t="inlineStr">
        <is>
          <t>عالية</t>
        </is>
      </c>
      <c r="I41" s="10" t="inlineStr">
        <is>
          <t>مؤكد</t>
        </is>
      </c>
      <c r="J41" s="13" t="n">
        <v>8</v>
      </c>
      <c r="K41" s="11" t="inlineStr">
        <is>
          <t>سعر مصانع فعلي (15 قائمة)</t>
        </is>
      </c>
      <c r="L41" s="14" t="n">
        <v>0.2</v>
      </c>
      <c r="M41" s="10" t="inlineStr">
        <is>
          <t>صغير</t>
        </is>
      </c>
      <c r="N41" s="11" t="inlineStr">
        <is>
          <t>طوال السنة</t>
        </is>
      </c>
      <c r="O41" s="11" t="inlineStr">
        <is>
          <t>SABER</t>
        </is>
      </c>
      <c r="P41" s="15" t="n">
        <v>0.15</v>
      </c>
      <c r="Q41" s="14" t="n">
        <v>9</v>
      </c>
      <c r="R41" s="14" t="n">
        <v>50</v>
      </c>
      <c r="S41" s="16">
        <f>J41*'الافتراضات'!$B$2*(1+'الافتراضات'!$B$3)</f>
        <v/>
      </c>
      <c r="T41" s="16">
        <f>L41*'الافتراضات'!$B$4</f>
        <v/>
      </c>
      <c r="U41" s="16">
        <f>(S41+T41)*'الافتراضات'!$B$5</f>
        <v/>
      </c>
      <c r="V41" s="16">
        <f>S41+T41+U41</f>
        <v/>
      </c>
      <c r="W41" s="16">
        <f>MAX(1,E41*P41)</f>
        <v/>
      </c>
      <c r="X41" s="16">
        <f>E41*'الافتراضات'!$B$7</f>
        <v/>
      </c>
      <c r="Y41" s="16">
        <f>E41*'الافتراضات'!$B$8</f>
        <v/>
      </c>
      <c r="Z41" s="16">
        <f>E41/(1+'الافتراضات'!$B$6)</f>
        <v/>
      </c>
      <c r="AA41" s="16">
        <f>Z41-V41-W41-Q41-X41-Y41</f>
        <v/>
      </c>
      <c r="AB41" s="17">
        <f>IF(Z41=0,0,AA41/Z41)</f>
        <v/>
      </c>
      <c r="AC41" s="17">
        <f>IF(V41=0,0,AA41/V41)</f>
        <v/>
      </c>
      <c r="AD41" s="18">
        <f>R41*V41</f>
        <v/>
      </c>
      <c r="AE41" s="16">
        <f>IF(AB41&gt;='الافتراضات'!$B$9,IF(O41="لا","ابدأ به","جيد – يحتاج شهادة"),IF(AB41&gt;='الافتراضات'!$B$10,"مقبول","ضعيف"))</f>
        <v/>
      </c>
      <c r="AF41" s="16">
        <f>IF((1-'الافتراضات'!$B$9)/(1+'الافتراضات'!$B$6)-P41-'الافتراضات'!$B$7-'الافتراضات'!$B$8&lt;=0,0,(V41+Q41)/((1-'الافتراضات'!$B$9)/(1+'الافتراضات'!$B$6)-P41-'الافتراضات'!$B$7-'الافتراضات'!$B$8))</f>
        <v/>
      </c>
    </row>
    <row r="42">
      <c r="A42" s="10" t="n">
        <v>41</v>
      </c>
      <c r="B42" s="11" t="inlineStr">
        <is>
          <t>إكسسوارات الجوال والإلكترونيات</t>
        </is>
      </c>
      <c r="C42" s="11" t="inlineStr">
        <is>
          <t>سماعات TWS مع عزل ضوضاء</t>
        </is>
      </c>
      <c r="D42" s="11" t="inlineStr">
        <is>
          <t>TWS earbuds ENC</t>
        </is>
      </c>
      <c r="E42" s="12" t="n">
        <v>59</v>
      </c>
      <c r="F42" s="10" t="inlineStr">
        <is>
          <t>فعلي من نون</t>
        </is>
      </c>
      <c r="G42" s="10" t="inlineStr">
        <is>
          <t>فعلي: 39–95</t>
        </is>
      </c>
      <c r="H42" s="10" t="inlineStr">
        <is>
          <t>عالية</t>
        </is>
      </c>
      <c r="I42" s="10" t="inlineStr">
        <is>
          <t>مؤكد</t>
        </is>
      </c>
      <c r="J42" s="13" t="n">
        <v>7.6</v>
      </c>
      <c r="K42" s="11" t="inlineStr">
        <is>
          <t>سعر مصانع فعلي (15 قائمة)</t>
        </is>
      </c>
      <c r="L42" s="14" t="n">
        <v>0.15</v>
      </c>
      <c r="M42" s="10" t="inlineStr">
        <is>
          <t>صغير</t>
        </is>
      </c>
      <c r="N42" s="11" t="inlineStr">
        <is>
          <t>طوال السنة</t>
        </is>
      </c>
      <c r="O42" s="11" t="inlineStr">
        <is>
          <t>SABER + بطارية ليثيوم</t>
        </is>
      </c>
      <c r="P42" s="15" t="n">
        <v>0.2</v>
      </c>
      <c r="Q42" s="14" t="n">
        <v>9</v>
      </c>
      <c r="R42" s="14" t="n">
        <v>50</v>
      </c>
      <c r="S42" s="16">
        <f>J42*'الافتراضات'!$B$2*(1+'الافتراضات'!$B$3)</f>
        <v/>
      </c>
      <c r="T42" s="16">
        <f>L42*'الافتراضات'!$B$4</f>
        <v/>
      </c>
      <c r="U42" s="16">
        <f>(S42+T42)*'الافتراضات'!$B$5</f>
        <v/>
      </c>
      <c r="V42" s="16">
        <f>S42+T42+U42</f>
        <v/>
      </c>
      <c r="W42" s="16">
        <f>MAX(1,E42*P42)</f>
        <v/>
      </c>
      <c r="X42" s="16">
        <f>E42*'الافتراضات'!$B$7</f>
        <v/>
      </c>
      <c r="Y42" s="16">
        <f>E42*'الافتراضات'!$B$8</f>
        <v/>
      </c>
      <c r="Z42" s="16">
        <f>E42/(1+'الافتراضات'!$B$6)</f>
        <v/>
      </c>
      <c r="AA42" s="16">
        <f>Z42-V42-W42-Q42-X42-Y42</f>
        <v/>
      </c>
      <c r="AB42" s="17">
        <f>IF(Z42=0,0,AA42/Z42)</f>
        <v/>
      </c>
      <c r="AC42" s="17">
        <f>IF(V42=0,0,AA42/V42)</f>
        <v/>
      </c>
      <c r="AD42" s="18">
        <f>R42*V42</f>
        <v/>
      </c>
      <c r="AE42" s="16">
        <f>IF(AB42&gt;='الافتراضات'!$B$9,IF(O42="لا","ابدأ به","جيد – يحتاج شهادة"),IF(AB42&gt;='الافتراضات'!$B$10,"مقبول","ضعيف"))</f>
        <v/>
      </c>
      <c r="AF42" s="16">
        <f>IF((1-'الافتراضات'!$B$9)/(1+'الافتراضات'!$B$6)-P42-'الافتراضات'!$B$7-'الافتراضات'!$B$8&lt;=0,0,(V42+Q42)/((1-'الافتراضات'!$B$9)/(1+'الافتراضات'!$B$6)-P42-'الافتراضات'!$B$7-'الافتراضات'!$B$8))</f>
        <v/>
      </c>
    </row>
    <row r="43">
      <c r="A43" s="10" t="n">
        <v>42</v>
      </c>
      <c r="B43" s="11" t="inlineStr">
        <is>
          <t>إكسسوارات الجوال والإلكترونيات</t>
        </is>
      </c>
      <c r="C43" s="11" t="inlineStr">
        <is>
          <t>شاحن لاسلكي مغناطيسي 15 واط</t>
        </is>
      </c>
      <c r="D43" s="11" t="inlineStr">
        <is>
          <t>magnetic wireless charger 15W</t>
        </is>
      </c>
      <c r="E43" s="12" t="n">
        <v>59</v>
      </c>
      <c r="F43" s="10" t="inlineStr">
        <is>
          <t>فعلي من نون</t>
        </is>
      </c>
      <c r="G43" s="10" t="inlineStr">
        <is>
          <t>فعلي: 21–289</t>
        </is>
      </c>
      <c r="H43" s="10" t="inlineStr">
        <is>
          <t>متوسطة</t>
        </is>
      </c>
      <c r="I43" s="10" t="inlineStr">
        <is>
          <t>مؤكد</t>
        </is>
      </c>
      <c r="J43" s="13" t="n">
        <v>9.300000000000001</v>
      </c>
      <c r="K43" s="11" t="inlineStr">
        <is>
          <t>سعر مصانع فعلي (10 قائمة)</t>
        </is>
      </c>
      <c r="L43" s="14" t="n">
        <v>0.15</v>
      </c>
      <c r="M43" s="10" t="inlineStr">
        <is>
          <t>صغير</t>
        </is>
      </c>
      <c r="N43" s="11" t="inlineStr">
        <is>
          <t>طوال السنة</t>
        </is>
      </c>
      <c r="O43" s="11" t="inlineStr">
        <is>
          <t>SABER + بطارية ليثيوم</t>
        </is>
      </c>
      <c r="P43" s="15" t="n">
        <v>0.15</v>
      </c>
      <c r="Q43" s="14" t="n">
        <v>9</v>
      </c>
      <c r="R43" s="14" t="n">
        <v>50</v>
      </c>
      <c r="S43" s="16">
        <f>J43*'الافتراضات'!$B$2*(1+'الافتراضات'!$B$3)</f>
        <v/>
      </c>
      <c r="T43" s="16">
        <f>L43*'الافتراضات'!$B$4</f>
        <v/>
      </c>
      <c r="U43" s="16">
        <f>(S43+T43)*'الافتراضات'!$B$5</f>
        <v/>
      </c>
      <c r="V43" s="16">
        <f>S43+T43+U43</f>
        <v/>
      </c>
      <c r="W43" s="16">
        <f>MAX(1,E43*P43)</f>
        <v/>
      </c>
      <c r="X43" s="16">
        <f>E43*'الافتراضات'!$B$7</f>
        <v/>
      </c>
      <c r="Y43" s="16">
        <f>E43*'الافتراضات'!$B$8</f>
        <v/>
      </c>
      <c r="Z43" s="16">
        <f>E43/(1+'الافتراضات'!$B$6)</f>
        <v/>
      </c>
      <c r="AA43" s="16">
        <f>Z43-V43-W43-Q43-X43-Y43</f>
        <v/>
      </c>
      <c r="AB43" s="17">
        <f>IF(Z43=0,0,AA43/Z43)</f>
        <v/>
      </c>
      <c r="AC43" s="17">
        <f>IF(V43=0,0,AA43/V43)</f>
        <v/>
      </c>
      <c r="AD43" s="18">
        <f>R43*V43</f>
        <v/>
      </c>
      <c r="AE43" s="16">
        <f>IF(AB43&gt;='الافتراضات'!$B$9,IF(O43="لا","ابدأ به","جيد – يحتاج شهادة"),IF(AB43&gt;='الافتراضات'!$B$10,"مقبول","ضعيف"))</f>
        <v/>
      </c>
      <c r="AF43" s="16">
        <f>IF((1-'الافتراضات'!$B$9)/(1+'الافتراضات'!$B$6)-P43-'الافتراضات'!$B$7-'الافتراضات'!$B$8&lt;=0,0,(V43+Q43)/((1-'الافتراضات'!$B$9)/(1+'الافتراضات'!$B$6)-P43-'الافتراضات'!$B$7-'الافتراضات'!$B$8))</f>
        <v/>
      </c>
    </row>
    <row r="44">
      <c r="A44" s="10" t="n">
        <v>43</v>
      </c>
      <c r="B44" s="11" t="inlineStr">
        <is>
          <t>إكسسوارات الجوال والإلكترونيات</t>
        </is>
      </c>
      <c r="C44" s="11" t="inlineStr">
        <is>
          <t>هاب USB-C سبع منافذ مع HDMI</t>
        </is>
      </c>
      <c r="D44" s="11" t="inlineStr">
        <is>
          <t>USB-C hub 7 in 1 HDMI</t>
        </is>
      </c>
      <c r="E44" s="12" t="n">
        <v>52</v>
      </c>
      <c r="F44" s="10" t="inlineStr">
        <is>
          <t>فعلي من نون</t>
        </is>
      </c>
      <c r="G44" s="10" t="inlineStr">
        <is>
          <t>فعلي: 30–219</t>
        </is>
      </c>
      <c r="H44" s="10" t="inlineStr">
        <is>
          <t>عالية</t>
        </is>
      </c>
      <c r="I44" s="10" t="inlineStr">
        <is>
          <t>مؤكد</t>
        </is>
      </c>
      <c r="J44" s="13" t="n">
        <v>8.539999999999999</v>
      </c>
      <c r="K44" s="11" t="inlineStr">
        <is>
          <t>سعر مصانع فعلي (5 قائمة)</t>
        </is>
      </c>
      <c r="L44" s="14" t="n">
        <v>0.15</v>
      </c>
      <c r="M44" s="10" t="inlineStr">
        <is>
          <t>صغير</t>
        </is>
      </c>
      <c r="N44" s="11" t="inlineStr">
        <is>
          <t>طوال السنة</t>
        </is>
      </c>
      <c r="O44" s="11" t="inlineStr">
        <is>
          <t>SABER</t>
        </is>
      </c>
      <c r="P44" s="15" t="n">
        <v>0.13</v>
      </c>
      <c r="Q44" s="14" t="n">
        <v>9</v>
      </c>
      <c r="R44" s="14" t="n">
        <v>50</v>
      </c>
      <c r="S44" s="16">
        <f>J44*'الافتراضات'!$B$2*(1+'الافتراضات'!$B$3)</f>
        <v/>
      </c>
      <c r="T44" s="16">
        <f>L44*'الافتراضات'!$B$4</f>
        <v/>
      </c>
      <c r="U44" s="16">
        <f>(S44+T44)*'الافتراضات'!$B$5</f>
        <v/>
      </c>
      <c r="V44" s="16">
        <f>S44+T44+U44</f>
        <v/>
      </c>
      <c r="W44" s="16">
        <f>MAX(1,E44*P44)</f>
        <v/>
      </c>
      <c r="X44" s="16">
        <f>E44*'الافتراضات'!$B$7</f>
        <v/>
      </c>
      <c r="Y44" s="16">
        <f>E44*'الافتراضات'!$B$8</f>
        <v/>
      </c>
      <c r="Z44" s="16">
        <f>E44/(1+'الافتراضات'!$B$6)</f>
        <v/>
      </c>
      <c r="AA44" s="16">
        <f>Z44-V44-W44-Q44-X44-Y44</f>
        <v/>
      </c>
      <c r="AB44" s="17">
        <f>IF(Z44=0,0,AA44/Z44)</f>
        <v/>
      </c>
      <c r="AC44" s="17">
        <f>IF(V44=0,0,AA44/V44)</f>
        <v/>
      </c>
      <c r="AD44" s="18">
        <f>R44*V44</f>
        <v/>
      </c>
      <c r="AE44" s="16">
        <f>IF(AB44&gt;='الافتراضات'!$B$9,IF(O44="لا","ابدأ به","جيد – يحتاج شهادة"),IF(AB44&gt;='الافتراضات'!$B$10,"مقبول","ضعيف"))</f>
        <v/>
      </c>
      <c r="AF44" s="16">
        <f>IF((1-'الافتراضات'!$B$9)/(1+'الافتراضات'!$B$6)-P44-'الافتراضات'!$B$7-'الافتراضات'!$B$8&lt;=0,0,(V44+Q44)/((1-'الافتراضات'!$B$9)/(1+'الافتراضات'!$B$6)-P44-'الافتراضات'!$B$7-'الافتراضات'!$B$8))</f>
        <v/>
      </c>
    </row>
  </sheetData>
  <autoFilter ref="A1:AF44"/>
  <conditionalFormatting sqref="AE2:AE44">
    <cfRule type="expression" priority="1" dxfId="0">
      <formula>$AE2="ابدأ به"</formula>
    </cfRule>
    <cfRule type="expression" priority="2" dxfId="1">
      <formula>$AE2="جيد – يحتاج شهادة"</formula>
    </cfRule>
    <cfRule type="expression" priority="3" dxfId="2">
      <formula>$AE2="مقبول"</formula>
    </cfRule>
    <cfRule type="expression" priority="4" dxfId="3">
      <formula>$AE2="ضعيف"</formula>
    </cfRule>
  </conditionalFormatting>
  <conditionalFormatting sqref="H2:H44">
    <cfRule type="expression" priority="5" dxfId="0">
      <formula>$H2="منخفضة"</formula>
    </cfRule>
    <cfRule type="expression" priority="6" dxfId="2">
      <formula>$H2="متوسطة"</formula>
    </cfRule>
    <cfRule type="expression" priority="7" dxfId="3">
      <formula>$H2="عالية"</formula>
    </cfRule>
  </conditionalFormatting>
  <conditionalFormatting sqref="K2:K44">
    <cfRule type="expression" priority="8" dxfId="4">
      <formula>$K2="تقدير"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458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36" customWidth="1" min="3" max="3"/>
    <col width="30" customWidth="1" min="4" max="4"/>
    <col width="11" customWidth="1" min="5" max="5"/>
    <col width="11" customWidth="1" min="6" max="6"/>
    <col width="13" customWidth="1" min="7" max="7"/>
    <col width="9" customWidth="1" min="8" max="8"/>
    <col width="8" customWidth="1" min="9" max="9"/>
    <col width="10" customWidth="1" min="10" max="10"/>
    <col width="17" customWidth="1" min="11" max="11"/>
    <col width="8" customWidth="1" min="12" max="12"/>
    <col width="8" customWidth="1" min="13" max="13"/>
    <col width="14" customWidth="1" min="14" max="14"/>
    <col width="20" customWidth="1" min="15" max="15"/>
    <col width="9" customWidth="1" min="16" max="16"/>
    <col width="10" customWidth="1" min="17" max="17"/>
    <col width="8" customWidth="1" min="18" max="18"/>
    <col width="10" customWidth="1" min="19" max="19"/>
    <col width="10" customWidth="1" min="20" max="20"/>
    <col width="9" customWidth="1" min="21" max="21"/>
    <col width="10" customWidth="1" min="22" max="22"/>
    <col width="9" customWidth="1" min="23" max="23"/>
    <col width="9" customWidth="1" min="24" max="24"/>
    <col width="9" customWidth="1" min="25" max="25"/>
    <col width="11" customWidth="1" min="26" max="26"/>
    <col width="11" customWidth="1" min="27" max="27"/>
    <col width="9" customWidth="1" min="28" max="28"/>
    <col width="9" customWidth="1" min="29" max="29"/>
    <col width="12" customWidth="1" min="30" max="30"/>
    <col width="17" customWidth="1" min="31" max="31"/>
    <col width="13" customWidth="1" min="32" max="32"/>
  </cols>
  <sheetData>
    <row r="1" ht="54" customHeight="1">
      <c r="A1" s="9" t="inlineStr">
        <is>
          <t>#</t>
        </is>
      </c>
      <c r="B1" s="9" t="inlineStr">
        <is>
          <t>الفئة</t>
        </is>
      </c>
      <c r="C1" s="9" t="inlineStr">
        <is>
          <t>المنتج</t>
        </is>
      </c>
      <c r="D1" s="9" t="inlineStr">
        <is>
          <t>كلمة البحث (نون / علي بابا)</t>
        </is>
      </c>
      <c r="E1" s="9" t="inlineStr">
        <is>
          <t>سعر البيع على نون (ريال)</t>
        </is>
      </c>
      <c r="F1" s="9" t="inlineStr">
        <is>
          <t>مصدر السعر</t>
        </is>
      </c>
      <c r="G1" s="9" t="inlineStr">
        <is>
          <t>نطاق أسعار المنافسين</t>
        </is>
      </c>
      <c r="H1" s="9" t="inlineStr">
        <is>
          <t>المنافسة</t>
        </is>
      </c>
      <c r="I1" s="9" t="inlineStr">
        <is>
          <t>الطلب</t>
        </is>
      </c>
      <c r="J1" s="9" t="inlineStr">
        <is>
          <t>تكلفة المصنع ($)</t>
        </is>
      </c>
      <c r="K1" s="9" t="inlineStr">
        <is>
          <t>مصدر التكلفة</t>
        </is>
      </c>
      <c r="L1" s="9" t="inlineStr">
        <is>
          <t>الوزن (كجم)</t>
        </is>
      </c>
      <c r="M1" s="9" t="inlineStr">
        <is>
          <t>الحجم</t>
        </is>
      </c>
      <c r="N1" s="9" t="inlineStr">
        <is>
          <t>الموسم</t>
        </is>
      </c>
      <c r="O1" s="9" t="inlineStr">
        <is>
          <t>شهادات / اشتراطات</t>
        </is>
      </c>
      <c r="P1" s="9" t="inlineStr">
        <is>
          <t>عمولة نون الرسمية</t>
        </is>
      </c>
      <c r="Q1" s="9" t="inlineStr">
        <is>
          <t>رسوم FBN الرسمية (ريال)</t>
        </is>
      </c>
      <c r="R1" s="9" t="inlineStr">
        <is>
          <t>كمية الاختبار</t>
        </is>
      </c>
      <c r="S1" s="9" t="inlineStr">
        <is>
          <t>تكلفة المصنع (ريال)</t>
        </is>
      </c>
      <c r="T1" s="9" t="inlineStr">
        <is>
          <t>الشحن الدولي (ريال)</t>
        </is>
      </c>
      <c r="U1" s="9" t="inlineStr">
        <is>
          <t>الجمارك (ريال)</t>
        </is>
      </c>
      <c r="V1" s="9" t="inlineStr">
        <is>
          <t>التكلفة الواصلة</t>
        </is>
      </c>
      <c r="W1" s="9" t="inlineStr">
        <is>
          <t>عمولة نون (ريال)</t>
        </is>
      </c>
      <c r="X1" s="9" t="inlineStr">
        <is>
          <t>الإعلانات</t>
        </is>
      </c>
      <c r="Y1" s="9" t="inlineStr">
        <is>
          <t>مرتجعات وتالف</t>
        </is>
      </c>
      <c r="Z1" s="9" t="inlineStr">
        <is>
          <t>صافي البيع بدون ضريبة</t>
        </is>
      </c>
      <c r="AA1" s="9" t="inlineStr">
        <is>
          <t>صافي الربح للوحدة</t>
        </is>
      </c>
      <c r="AB1" s="9" t="inlineStr">
        <is>
          <t>هامش الربح</t>
        </is>
      </c>
      <c r="AC1" s="9" t="inlineStr">
        <is>
          <t>العائد على التكلفة</t>
        </is>
      </c>
      <c r="AD1" s="9" t="inlineStr">
        <is>
          <t>رأس المال لكمية الاختبار</t>
        </is>
      </c>
      <c r="AE1" s="9" t="inlineStr">
        <is>
          <t>التقييم</t>
        </is>
      </c>
      <c r="AF1" s="9" t="inlineStr">
        <is>
          <t>أقل سعر بيع يحقق الهدف (ريال)</t>
        </is>
      </c>
    </row>
    <row r="2">
      <c r="A2" s="10" t="n">
        <v>1</v>
      </c>
      <c r="B2" s="11" t="inlineStr">
        <is>
          <t>إكسسوارات الجوال والإلكترونيات</t>
        </is>
      </c>
      <c r="C2" s="11" t="inlineStr">
        <is>
          <t>كاميرا ويب غطاء خصوصية</t>
        </is>
      </c>
      <c r="D2" s="11" t="inlineStr">
        <is>
          <t>webcam cover slider</t>
        </is>
      </c>
      <c r="E2" s="12" t="n">
        <v>25</v>
      </c>
      <c r="F2" s="10" t="inlineStr">
        <is>
          <t>تقدير</t>
        </is>
      </c>
      <c r="G2" s="10" t="inlineStr">
        <is>
          <t>تقدير</t>
        </is>
      </c>
      <c r="H2" s="10" t="inlineStr">
        <is>
          <t>لم تُفحص</t>
        </is>
      </c>
      <c r="I2" s="10" t="inlineStr">
        <is>
          <t>لم يُفحص</t>
        </is>
      </c>
      <c r="J2" s="13" t="n">
        <v>0.15</v>
      </c>
      <c r="K2" s="11" t="inlineStr">
        <is>
          <t>تقدير</t>
        </is>
      </c>
      <c r="L2" s="14" t="n">
        <v>0.01</v>
      </c>
      <c r="M2" s="10" t="inlineStr">
        <is>
          <t>صغير</t>
        </is>
      </c>
      <c r="N2" s="11" t="inlineStr">
        <is>
          <t>طوال السنة</t>
        </is>
      </c>
      <c r="O2" s="11" t="inlineStr">
        <is>
          <t>لا</t>
        </is>
      </c>
      <c r="P2" s="15" t="n">
        <v>0.15</v>
      </c>
      <c r="Q2" s="14" t="n">
        <v>6</v>
      </c>
      <c r="R2" s="14" t="n">
        <v>50</v>
      </c>
      <c r="S2" s="16">
        <f>J2*'الافتراضات'!$B$2*(1+'الافتراضات'!$B$3)</f>
        <v/>
      </c>
      <c r="T2" s="16">
        <f>L2*'الافتراضات'!$B$4</f>
        <v/>
      </c>
      <c r="U2" s="16">
        <f>(S2+T2)*'الافتراضات'!$B$5</f>
        <v/>
      </c>
      <c r="V2" s="16">
        <f>S2+T2+U2</f>
        <v/>
      </c>
      <c r="W2" s="16">
        <f>MAX(1,E2*P2)</f>
        <v/>
      </c>
      <c r="X2" s="16">
        <f>E2*'الافتراضات'!$B$7</f>
        <v/>
      </c>
      <c r="Y2" s="16">
        <f>E2*'الافتراضات'!$B$8</f>
        <v/>
      </c>
      <c r="Z2" s="16">
        <f>E2/(1+'الافتراضات'!$B$6)</f>
        <v/>
      </c>
      <c r="AA2" s="16">
        <f>Z2-V2-W2-Q2-X2-Y2</f>
        <v/>
      </c>
      <c r="AB2" s="17">
        <f>IF(Z2=0,0,AA2/Z2)</f>
        <v/>
      </c>
      <c r="AC2" s="17">
        <f>IF(V2=0,0,AA2/V2)</f>
        <v/>
      </c>
      <c r="AD2" s="18">
        <f>R2*V2</f>
        <v/>
      </c>
      <c r="AE2" s="16">
        <f>IF(AB2&gt;='الافتراضات'!$B$9,IF(O2="لا","ابدأ به","جيد – يحتاج شهادة"),IF(AB2&gt;='الافتراضات'!$B$10,"مقبول","ضعيف"))</f>
        <v/>
      </c>
      <c r="AF2" s="16">
        <f>IF((1-'الافتراضات'!$B$9)/(1+'الافتراضات'!$B$6)-P2-'الافتراضات'!$B$7-'الافتراضات'!$B$8&lt;=0,0,(V2+Q2)/((1-'الافتراضات'!$B$9)/(1+'الافتراضات'!$B$6)-P2-'الافتراضات'!$B$7-'الافتراضات'!$B$8))</f>
        <v/>
      </c>
    </row>
    <row r="3">
      <c r="A3" s="10" t="n">
        <v>2</v>
      </c>
      <c r="B3" s="11" t="inlineStr">
        <is>
          <t>المنزل والمطبخ</t>
        </is>
      </c>
      <c r="C3" s="11" t="inlineStr">
        <is>
          <t>سدادات أذن للنوم</t>
        </is>
      </c>
      <c r="D3" s="11" t="inlineStr">
        <is>
          <t>sleep earplugs silicone</t>
        </is>
      </c>
      <c r="E3" s="12" t="n">
        <v>25</v>
      </c>
      <c r="F3" s="10" t="inlineStr">
        <is>
          <t>تقدير</t>
        </is>
      </c>
      <c r="G3" s="10" t="inlineStr">
        <is>
          <t>تقدير</t>
        </is>
      </c>
      <c r="H3" s="10" t="inlineStr">
        <is>
          <t>لم تُفحص</t>
        </is>
      </c>
      <c r="I3" s="10" t="inlineStr">
        <is>
          <t>لم يُفحص</t>
        </is>
      </c>
      <c r="J3" s="13" t="n">
        <v>0.3</v>
      </c>
      <c r="K3" s="11" t="inlineStr">
        <is>
          <t>تقدير</t>
        </is>
      </c>
      <c r="L3" s="14" t="n">
        <v>0.03</v>
      </c>
      <c r="M3" s="10" t="inlineStr">
        <is>
          <t>صغير</t>
        </is>
      </c>
      <c r="N3" s="11" t="inlineStr">
        <is>
          <t>طوال السنة</t>
        </is>
      </c>
      <c r="O3" s="11" t="inlineStr">
        <is>
          <t>لا</t>
        </is>
      </c>
      <c r="P3" s="15" t="n">
        <v>0.14</v>
      </c>
      <c r="Q3" s="14" t="n">
        <v>6</v>
      </c>
      <c r="R3" s="14" t="n">
        <v>50</v>
      </c>
      <c r="S3" s="16">
        <f>J3*'الافتراضات'!$B$2*(1+'الافتراضات'!$B$3)</f>
        <v/>
      </c>
      <c r="T3" s="16">
        <f>L3*'الافتراضات'!$B$4</f>
        <v/>
      </c>
      <c r="U3" s="16">
        <f>(S3+T3)*'الافتراضات'!$B$5</f>
        <v/>
      </c>
      <c r="V3" s="16">
        <f>S3+T3+U3</f>
        <v/>
      </c>
      <c r="W3" s="16">
        <f>MAX(1,E3*P3)</f>
        <v/>
      </c>
      <c r="X3" s="16">
        <f>E3*'الافتراضات'!$B$7</f>
        <v/>
      </c>
      <c r="Y3" s="16">
        <f>E3*'الافتراضات'!$B$8</f>
        <v/>
      </c>
      <c r="Z3" s="16">
        <f>E3/(1+'الافتراضات'!$B$6)</f>
        <v/>
      </c>
      <c r="AA3" s="16">
        <f>Z3-V3-W3-Q3-X3-Y3</f>
        <v/>
      </c>
      <c r="AB3" s="17">
        <f>IF(Z3=0,0,AA3/Z3)</f>
        <v/>
      </c>
      <c r="AC3" s="17">
        <f>IF(V3=0,0,AA3/V3)</f>
        <v/>
      </c>
      <c r="AD3" s="18">
        <f>R3*V3</f>
        <v/>
      </c>
      <c r="AE3" s="16">
        <f>IF(AB3&gt;='الافتراضات'!$B$9,IF(O3="لا","ابدأ به","جيد – يحتاج شهادة"),IF(AB3&gt;='الافتراضات'!$B$10,"مقبول","ضعيف"))</f>
        <v/>
      </c>
      <c r="AF3" s="16">
        <f>IF((1-'الافتراضات'!$B$9)/(1+'الافتراضات'!$B$6)-P3-'الافتراضات'!$B$7-'الافتراضات'!$B$8&lt;=0,0,(V3+Q3)/((1-'الافتراضات'!$B$9)/(1+'الافتراضات'!$B$6)-P3-'الافتراضات'!$B$7-'الافتراضات'!$B$8))</f>
        <v/>
      </c>
    </row>
    <row r="4">
      <c r="A4" s="10" t="n">
        <v>3</v>
      </c>
      <c r="B4" s="11" t="inlineStr">
        <is>
          <t>السيارات والدراجات</t>
        </is>
      </c>
      <c r="C4" s="11" t="inlineStr">
        <is>
          <t>مرآة صغيرة لعين الأعمى</t>
        </is>
      </c>
      <c r="D4" s="11" t="inlineStr">
        <is>
          <t>blind spot mirror</t>
        </is>
      </c>
      <c r="E4" s="12" t="n">
        <v>25</v>
      </c>
      <c r="F4" s="10" t="inlineStr">
        <is>
          <t>تقدير</t>
        </is>
      </c>
      <c r="G4" s="10" t="inlineStr">
        <is>
          <t>تقدير</t>
        </is>
      </c>
      <c r="H4" s="10" t="inlineStr">
        <is>
          <t>لم تُفحص</t>
        </is>
      </c>
      <c r="I4" s="10" t="inlineStr">
        <is>
          <t>لم يُفحص</t>
        </is>
      </c>
      <c r="J4" s="13" t="n">
        <v>0.5</v>
      </c>
      <c r="K4" s="11" t="inlineStr">
        <is>
          <t>تقدير</t>
        </is>
      </c>
      <c r="L4" s="14" t="n">
        <v>0.05</v>
      </c>
      <c r="M4" s="10" t="inlineStr">
        <is>
          <t>صغير</t>
        </is>
      </c>
      <c r="N4" s="11" t="inlineStr">
        <is>
          <t>طوال السنة</t>
        </is>
      </c>
      <c r="O4" s="11" t="inlineStr">
        <is>
          <t>لا</t>
        </is>
      </c>
      <c r="P4" s="15" t="n">
        <v>0.1</v>
      </c>
      <c r="Q4" s="14" t="n">
        <v>6</v>
      </c>
      <c r="R4" s="14" t="n">
        <v>50</v>
      </c>
      <c r="S4" s="16">
        <f>J4*'الافتراضات'!$B$2*(1+'الافتراضات'!$B$3)</f>
        <v/>
      </c>
      <c r="T4" s="16">
        <f>L4*'الافتراضات'!$B$4</f>
        <v/>
      </c>
      <c r="U4" s="16">
        <f>(S4+T4)*'الافتراضات'!$B$5</f>
        <v/>
      </c>
      <c r="V4" s="16">
        <f>S4+T4+U4</f>
        <v/>
      </c>
      <c r="W4" s="16">
        <f>MAX(1,E4*P4)</f>
        <v/>
      </c>
      <c r="X4" s="16">
        <f>E4*'الافتراضات'!$B$7</f>
        <v/>
      </c>
      <c r="Y4" s="16">
        <f>E4*'الافتراضات'!$B$8</f>
        <v/>
      </c>
      <c r="Z4" s="16">
        <f>E4/(1+'الافتراضات'!$B$6)</f>
        <v/>
      </c>
      <c r="AA4" s="16">
        <f>Z4-V4-W4-Q4-X4-Y4</f>
        <v/>
      </c>
      <c r="AB4" s="17">
        <f>IF(Z4=0,0,AA4/Z4)</f>
        <v/>
      </c>
      <c r="AC4" s="17">
        <f>IF(V4=0,0,AA4/V4)</f>
        <v/>
      </c>
      <c r="AD4" s="18">
        <f>R4*V4</f>
        <v/>
      </c>
      <c r="AE4" s="16">
        <f>IF(AB4&gt;='الافتراضات'!$B$9,IF(O4="لا","ابدأ به","جيد – يحتاج شهادة"),IF(AB4&gt;='الافتراضات'!$B$10,"مقبول","ضعيف"))</f>
        <v/>
      </c>
      <c r="AF4" s="16">
        <f>IF((1-'الافتراضات'!$B$9)/(1+'الافتراضات'!$B$6)-P4-'الافتراضات'!$B$7-'الافتراضات'!$B$8&lt;=0,0,(V4+Q4)/((1-'الافتراضات'!$B$9)/(1+'الافتراضات'!$B$6)-P4-'الافتراضات'!$B$7-'الافتراضات'!$B$8))</f>
        <v/>
      </c>
    </row>
    <row r="5">
      <c r="A5" s="10" t="n">
        <v>4</v>
      </c>
      <c r="B5" s="11" t="inlineStr">
        <is>
          <t>إكسسوارات الجوال والإلكترونيات</t>
        </is>
      </c>
      <c r="C5" s="11" t="inlineStr">
        <is>
          <t>أصابع ألعاب للجوال</t>
        </is>
      </c>
      <c r="D5" s="11" t="inlineStr">
        <is>
          <t>mobile gaming finger sleeves</t>
        </is>
      </c>
      <c r="E5" s="12" t="n">
        <v>25</v>
      </c>
      <c r="F5" s="10" t="inlineStr">
        <is>
          <t>تقدير</t>
        </is>
      </c>
      <c r="G5" s="10" t="inlineStr">
        <is>
          <t>تقدير</t>
        </is>
      </c>
      <c r="H5" s="10" t="inlineStr">
        <is>
          <t>لم تُفحص</t>
        </is>
      </c>
      <c r="I5" s="10" t="inlineStr">
        <is>
          <t>لم يُفحص</t>
        </is>
      </c>
      <c r="J5" s="13" t="n">
        <v>0.5</v>
      </c>
      <c r="K5" s="11" t="inlineStr">
        <is>
          <t>تقدير</t>
        </is>
      </c>
      <c r="L5" s="14" t="n">
        <v>0.02</v>
      </c>
      <c r="M5" s="10" t="inlineStr">
        <is>
          <t>صغير</t>
        </is>
      </c>
      <c r="N5" s="11" t="inlineStr">
        <is>
          <t>طوال السنة</t>
        </is>
      </c>
      <c r="O5" s="11" t="inlineStr">
        <is>
          <t>لا</t>
        </is>
      </c>
      <c r="P5" s="15" t="n">
        <v>0.13</v>
      </c>
      <c r="Q5" s="14" t="n">
        <v>6</v>
      </c>
      <c r="R5" s="14" t="n">
        <v>50</v>
      </c>
      <c r="S5" s="16">
        <f>J5*'الافتراضات'!$B$2*(1+'الافتراضات'!$B$3)</f>
        <v/>
      </c>
      <c r="T5" s="16">
        <f>L5*'الافتراضات'!$B$4</f>
        <v/>
      </c>
      <c r="U5" s="16">
        <f>(S5+T5)*'الافتراضات'!$B$5</f>
        <v/>
      </c>
      <c r="V5" s="16">
        <f>S5+T5+U5</f>
        <v/>
      </c>
      <c r="W5" s="16">
        <f>MAX(1,E5*P5)</f>
        <v/>
      </c>
      <c r="X5" s="16">
        <f>E5*'الافتراضات'!$B$7</f>
        <v/>
      </c>
      <c r="Y5" s="16">
        <f>E5*'الافتراضات'!$B$8</f>
        <v/>
      </c>
      <c r="Z5" s="16">
        <f>E5/(1+'الافتراضات'!$B$6)</f>
        <v/>
      </c>
      <c r="AA5" s="16">
        <f>Z5-V5-W5-Q5-X5-Y5</f>
        <v/>
      </c>
      <c r="AB5" s="17">
        <f>IF(Z5=0,0,AA5/Z5)</f>
        <v/>
      </c>
      <c r="AC5" s="17">
        <f>IF(V5=0,0,AA5/V5)</f>
        <v/>
      </c>
      <c r="AD5" s="18">
        <f>R5*V5</f>
        <v/>
      </c>
      <c r="AE5" s="16">
        <f>IF(AB5&gt;='الافتراضات'!$B$9,IF(O5="لا","ابدأ به","جيد – يحتاج شهادة"),IF(AB5&gt;='الافتراضات'!$B$10,"مقبول","ضعيف"))</f>
        <v/>
      </c>
      <c r="AF5" s="16">
        <f>IF((1-'الافتراضات'!$B$9)/(1+'الافتراضات'!$B$6)-P5-'الافتراضات'!$B$7-'الافتراضات'!$B$8&lt;=0,0,(V5+Q5)/((1-'الافتراضات'!$B$9)/(1+'الافتراضات'!$B$6)-P5-'الافتراضات'!$B$7-'الافتراضات'!$B$8))</f>
        <v/>
      </c>
    </row>
    <row r="6">
      <c r="A6" s="10" t="n">
        <v>5</v>
      </c>
      <c r="B6" s="11" t="inlineStr">
        <is>
          <t>السيارات والدراجات</t>
        </is>
      </c>
      <c r="C6" s="11" t="inlineStr">
        <is>
          <t>جرس دراجة</t>
        </is>
      </c>
      <c r="D6" s="11" t="inlineStr">
        <is>
          <t>bike bell</t>
        </is>
      </c>
      <c r="E6" s="12" t="n">
        <v>25</v>
      </c>
      <c r="F6" s="10" t="inlineStr">
        <is>
          <t>تقدير</t>
        </is>
      </c>
      <c r="G6" s="10" t="inlineStr">
        <is>
          <t>تقدير</t>
        </is>
      </c>
      <c r="H6" s="10" t="inlineStr">
        <is>
          <t>لم تُفحص</t>
        </is>
      </c>
      <c r="I6" s="10" t="inlineStr">
        <is>
          <t>لم يُفحص</t>
        </is>
      </c>
      <c r="J6" s="13" t="n">
        <v>0.6</v>
      </c>
      <c r="K6" s="11" t="inlineStr">
        <is>
          <t>تقدير</t>
        </is>
      </c>
      <c r="L6" s="14" t="n">
        <v>0.08</v>
      </c>
      <c r="M6" s="10" t="inlineStr">
        <is>
          <t>صغير</t>
        </is>
      </c>
      <c r="N6" s="11" t="inlineStr">
        <is>
          <t>طوال السنة</t>
        </is>
      </c>
      <c r="O6" s="11" t="inlineStr">
        <is>
          <t>لا</t>
        </is>
      </c>
      <c r="P6" s="15" t="n">
        <v>0.1</v>
      </c>
      <c r="Q6" s="14" t="n">
        <v>6</v>
      </c>
      <c r="R6" s="14" t="n">
        <v>50</v>
      </c>
      <c r="S6" s="16">
        <f>J6*'الافتراضات'!$B$2*(1+'الافتراضات'!$B$3)</f>
        <v/>
      </c>
      <c r="T6" s="16">
        <f>L6*'الافتراضات'!$B$4</f>
        <v/>
      </c>
      <c r="U6" s="16">
        <f>(S6+T6)*'الافتراضات'!$B$5</f>
        <v/>
      </c>
      <c r="V6" s="16">
        <f>S6+T6+U6</f>
        <v/>
      </c>
      <c r="W6" s="16">
        <f>MAX(1,E6*P6)</f>
        <v/>
      </c>
      <c r="X6" s="16">
        <f>E6*'الافتراضات'!$B$7</f>
        <v/>
      </c>
      <c r="Y6" s="16">
        <f>E6*'الافتراضات'!$B$8</f>
        <v/>
      </c>
      <c r="Z6" s="16">
        <f>E6/(1+'الافتراضات'!$B$6)</f>
        <v/>
      </c>
      <c r="AA6" s="16">
        <f>Z6-V6-W6-Q6-X6-Y6</f>
        <v/>
      </c>
      <c r="AB6" s="17">
        <f>IF(Z6=0,0,AA6/Z6)</f>
        <v/>
      </c>
      <c r="AC6" s="17">
        <f>IF(V6=0,0,AA6/V6)</f>
        <v/>
      </c>
      <c r="AD6" s="18">
        <f>R6*V6</f>
        <v/>
      </c>
      <c r="AE6" s="16">
        <f>IF(AB6&gt;='الافتراضات'!$B$9,IF(O6="لا","ابدأ به","جيد – يحتاج شهادة"),IF(AB6&gt;='الافتراضات'!$B$10,"مقبول","ضعيف"))</f>
        <v/>
      </c>
      <c r="AF6" s="16">
        <f>IF((1-'الافتراضات'!$B$9)/(1+'الافتراضات'!$B$6)-P6-'الافتراضات'!$B$7-'الافتراضات'!$B$8&lt;=0,0,(V6+Q6)/((1-'الافتراضات'!$B$9)/(1+'الافتراضات'!$B$6)-P6-'الافتراضات'!$B$7-'الافتراضات'!$B$8))</f>
        <v/>
      </c>
    </row>
    <row r="7">
      <c r="A7" s="10" t="n">
        <v>6</v>
      </c>
      <c r="B7" s="11" t="inlineStr">
        <is>
          <t>إكسسوارات الجوال والإلكترونيات</t>
        </is>
      </c>
      <c r="C7" s="11" t="inlineStr">
        <is>
          <t>محول صوت USB-C إلى 3.5 ملم</t>
        </is>
      </c>
      <c r="D7" s="11" t="inlineStr">
        <is>
          <t>USB-C to 3.5mm headphone adapter</t>
        </is>
      </c>
      <c r="E7" s="12" t="n">
        <v>25</v>
      </c>
      <c r="F7" s="10" t="inlineStr">
        <is>
          <t>تقدير</t>
        </is>
      </c>
      <c r="G7" s="10" t="inlineStr">
        <is>
          <t>تقدير</t>
        </is>
      </c>
      <c r="H7" s="10" t="inlineStr">
        <is>
          <t>لم تُفحص</t>
        </is>
      </c>
      <c r="I7" s="10" t="inlineStr">
        <is>
          <t>لم يُفحص</t>
        </is>
      </c>
      <c r="J7" s="13" t="n">
        <v>0.6</v>
      </c>
      <c r="K7" s="11" t="inlineStr">
        <is>
          <t>تقدير</t>
        </is>
      </c>
      <c r="L7" s="14" t="n">
        <v>0.02</v>
      </c>
      <c r="M7" s="10" t="inlineStr">
        <is>
          <t>صغير</t>
        </is>
      </c>
      <c r="N7" s="11" t="inlineStr">
        <is>
          <t>طوال السنة</t>
        </is>
      </c>
      <c r="O7" s="11" t="inlineStr">
        <is>
          <t>لا</t>
        </is>
      </c>
      <c r="P7" s="15" t="n">
        <v>0.13</v>
      </c>
      <c r="Q7" s="14" t="n">
        <v>6</v>
      </c>
      <c r="R7" s="14" t="n">
        <v>50</v>
      </c>
      <c r="S7" s="16">
        <f>J7*'الافتراضات'!$B$2*(1+'الافتراضات'!$B$3)</f>
        <v/>
      </c>
      <c r="T7" s="16">
        <f>L7*'الافتراضات'!$B$4</f>
        <v/>
      </c>
      <c r="U7" s="16">
        <f>(S7+T7)*'الافتراضات'!$B$5</f>
        <v/>
      </c>
      <c r="V7" s="16">
        <f>S7+T7+U7</f>
        <v/>
      </c>
      <c r="W7" s="16">
        <f>MAX(1,E7*P7)</f>
        <v/>
      </c>
      <c r="X7" s="16">
        <f>E7*'الافتراضات'!$B$7</f>
        <v/>
      </c>
      <c r="Y7" s="16">
        <f>E7*'الافتراضات'!$B$8</f>
        <v/>
      </c>
      <c r="Z7" s="16">
        <f>E7/(1+'الافتراضات'!$B$6)</f>
        <v/>
      </c>
      <c r="AA7" s="16">
        <f>Z7-V7-W7-Q7-X7-Y7</f>
        <v/>
      </c>
      <c r="AB7" s="17">
        <f>IF(Z7=0,0,AA7/Z7)</f>
        <v/>
      </c>
      <c r="AC7" s="17">
        <f>IF(V7=0,0,AA7/V7)</f>
        <v/>
      </c>
      <c r="AD7" s="18">
        <f>R7*V7</f>
        <v/>
      </c>
      <c r="AE7" s="16">
        <f>IF(AB7&gt;='الافتراضات'!$B$9,IF(O7="لا","ابدأ به","جيد – يحتاج شهادة"),IF(AB7&gt;='الافتراضات'!$B$10,"مقبول","ضعيف"))</f>
        <v/>
      </c>
      <c r="AF7" s="16">
        <f>IF((1-'الافتراضات'!$B$9)/(1+'الافتراضات'!$B$6)-P7-'الافتراضات'!$B$7-'الافتراضات'!$B$8&lt;=0,0,(V7+Q7)/((1-'الافتراضات'!$B$9)/(1+'الافتراضات'!$B$6)-P7-'الافتراضات'!$B$7-'الافتراضات'!$B$8))</f>
        <v/>
      </c>
    </row>
    <row r="8">
      <c r="A8" s="10" t="n">
        <v>7</v>
      </c>
      <c r="B8" s="11" t="inlineStr">
        <is>
          <t>المكتب والدراسة</t>
        </is>
      </c>
      <c r="C8" s="11" t="inlineStr">
        <is>
          <t>مقص مكتبي</t>
        </is>
      </c>
      <c r="D8" s="11" t="inlineStr">
        <is>
          <t>office scissors</t>
        </is>
      </c>
      <c r="E8" s="12" t="n">
        <v>25</v>
      </c>
      <c r="F8" s="10" t="inlineStr">
        <is>
          <t>تقدير</t>
        </is>
      </c>
      <c r="G8" s="10" t="inlineStr">
        <is>
          <t>تقدير</t>
        </is>
      </c>
      <c r="H8" s="10" t="inlineStr">
        <is>
          <t>لم تُفحص</t>
        </is>
      </c>
      <c r="I8" s="10" t="inlineStr">
        <is>
          <t>لم يُفحص</t>
        </is>
      </c>
      <c r="J8" s="13" t="n">
        <v>0.6</v>
      </c>
      <c r="K8" s="11" t="inlineStr">
        <is>
          <t>تقدير</t>
        </is>
      </c>
      <c r="L8" s="14" t="n">
        <v>0.1</v>
      </c>
      <c r="M8" s="10" t="inlineStr">
        <is>
          <t>صغير</t>
        </is>
      </c>
      <c r="N8" s="11" t="inlineStr">
        <is>
          <t>طوال السنة</t>
        </is>
      </c>
      <c r="O8" s="11" t="inlineStr">
        <is>
          <t>لا</t>
        </is>
      </c>
      <c r="P8" s="15" t="n">
        <v>0.12</v>
      </c>
      <c r="Q8" s="14" t="n">
        <v>6</v>
      </c>
      <c r="R8" s="14" t="n">
        <v>50</v>
      </c>
      <c r="S8" s="16">
        <f>J8*'الافتراضات'!$B$2*(1+'الافتراضات'!$B$3)</f>
        <v/>
      </c>
      <c r="T8" s="16">
        <f>L8*'الافتراضات'!$B$4</f>
        <v/>
      </c>
      <c r="U8" s="16">
        <f>(S8+T8)*'الافتراضات'!$B$5</f>
        <v/>
      </c>
      <c r="V8" s="16">
        <f>S8+T8+U8</f>
        <v/>
      </c>
      <c r="W8" s="16">
        <f>MAX(1,E8*P8)</f>
        <v/>
      </c>
      <c r="X8" s="16">
        <f>E8*'الافتراضات'!$B$7</f>
        <v/>
      </c>
      <c r="Y8" s="16">
        <f>E8*'الافتراضات'!$B$8</f>
        <v/>
      </c>
      <c r="Z8" s="16">
        <f>E8/(1+'الافتراضات'!$B$6)</f>
        <v/>
      </c>
      <c r="AA8" s="16">
        <f>Z8-V8-W8-Q8-X8-Y8</f>
        <v/>
      </c>
      <c r="AB8" s="17">
        <f>IF(Z8=0,0,AA8/Z8)</f>
        <v/>
      </c>
      <c r="AC8" s="17">
        <f>IF(V8=0,0,AA8/V8)</f>
        <v/>
      </c>
      <c r="AD8" s="18">
        <f>R8*V8</f>
        <v/>
      </c>
      <c r="AE8" s="16">
        <f>IF(AB8&gt;='الافتراضات'!$B$9,IF(O8="لا","ابدأ به","جيد – يحتاج شهادة"),IF(AB8&gt;='الافتراضات'!$B$10,"مقبول","ضعيف"))</f>
        <v/>
      </c>
      <c r="AF8" s="16">
        <f>IF((1-'الافتراضات'!$B$9)/(1+'الافتراضات'!$B$6)-P8-'الافتراضات'!$B$7-'الافتراضات'!$B$8&lt;=0,0,(V8+Q8)/((1-'الافتراضات'!$B$9)/(1+'الافتراضات'!$B$6)-P8-'الافتراضات'!$B$7-'الافتراضات'!$B$8))</f>
        <v/>
      </c>
    </row>
    <row r="9">
      <c r="A9" s="10" t="n">
        <v>8</v>
      </c>
      <c r="B9" s="11" t="inlineStr">
        <is>
          <t>المكتب والدراسة</t>
        </is>
      </c>
      <c r="C9" s="11" t="inlineStr">
        <is>
          <t>فاصل كتب مغناطيسي</t>
        </is>
      </c>
      <c r="D9" s="11" t="inlineStr">
        <is>
          <t>magnetic bookmarks set</t>
        </is>
      </c>
      <c r="E9" s="12" t="n">
        <v>25</v>
      </c>
      <c r="F9" s="10" t="inlineStr">
        <is>
          <t>تقدير</t>
        </is>
      </c>
      <c r="G9" s="10" t="inlineStr">
        <is>
          <t>تقدير</t>
        </is>
      </c>
      <c r="H9" s="10" t="inlineStr">
        <is>
          <t>لم تُفحص</t>
        </is>
      </c>
      <c r="I9" s="10" t="inlineStr">
        <is>
          <t>لم يُفحص</t>
        </is>
      </c>
      <c r="J9" s="13" t="n">
        <v>0.7</v>
      </c>
      <c r="K9" s="11" t="inlineStr">
        <is>
          <t>تقدير</t>
        </is>
      </c>
      <c r="L9" s="14" t="n">
        <v>0.05</v>
      </c>
      <c r="M9" s="10" t="inlineStr">
        <is>
          <t>صغير</t>
        </is>
      </c>
      <c r="N9" s="11" t="inlineStr">
        <is>
          <t>العودة للمدارس</t>
        </is>
      </c>
      <c r="O9" s="11" t="inlineStr">
        <is>
          <t>لا</t>
        </is>
      </c>
      <c r="P9" s="15" t="n">
        <v>0.12</v>
      </c>
      <c r="Q9" s="14" t="n">
        <v>6</v>
      </c>
      <c r="R9" s="14" t="n">
        <v>50</v>
      </c>
      <c r="S9" s="16">
        <f>J9*'الافتراضات'!$B$2*(1+'الافتراضات'!$B$3)</f>
        <v/>
      </c>
      <c r="T9" s="16">
        <f>L9*'الافتراضات'!$B$4</f>
        <v/>
      </c>
      <c r="U9" s="16">
        <f>(S9+T9)*'الافتراضات'!$B$5</f>
        <v/>
      </c>
      <c r="V9" s="16">
        <f>S9+T9+U9</f>
        <v/>
      </c>
      <c r="W9" s="16">
        <f>MAX(1,E9*P9)</f>
        <v/>
      </c>
      <c r="X9" s="16">
        <f>E9*'الافتراضات'!$B$7</f>
        <v/>
      </c>
      <c r="Y9" s="16">
        <f>E9*'الافتراضات'!$B$8</f>
        <v/>
      </c>
      <c r="Z9" s="16">
        <f>E9/(1+'الافتراضات'!$B$6)</f>
        <v/>
      </c>
      <c r="AA9" s="16">
        <f>Z9-V9-W9-Q9-X9-Y9</f>
        <v/>
      </c>
      <c r="AB9" s="17">
        <f>IF(Z9=0,0,AA9/Z9)</f>
        <v/>
      </c>
      <c r="AC9" s="17">
        <f>IF(V9=0,0,AA9/V9)</f>
        <v/>
      </c>
      <c r="AD9" s="18">
        <f>R9*V9</f>
        <v/>
      </c>
      <c r="AE9" s="16">
        <f>IF(AB9&gt;='الافتراضات'!$B$9,IF(O9="لا","ابدأ به","جيد – يحتاج شهادة"),IF(AB9&gt;='الافتراضات'!$B$10,"مقبول","ضعيف"))</f>
        <v/>
      </c>
      <c r="AF9" s="16">
        <f>IF((1-'الافتراضات'!$B$9)/(1+'الافتراضات'!$B$6)-P9-'الافتراضات'!$B$7-'الافتراضات'!$B$8&lt;=0,0,(V9+Q9)/((1-'الافتراضات'!$B$9)/(1+'الافتراضات'!$B$6)-P9-'الافتراضات'!$B$7-'الافتراضات'!$B$8))</f>
        <v/>
      </c>
    </row>
    <row r="10">
      <c r="A10" s="10" t="n">
        <v>9</v>
      </c>
      <c r="B10" s="11" t="inlineStr">
        <is>
          <t>الأطفال والألعاب</t>
        </is>
      </c>
      <c r="C10" s="11" t="inlineStr">
        <is>
          <t>كرة أنتي ستريس</t>
        </is>
      </c>
      <c r="D10" s="11" t="inlineStr">
        <is>
          <t>stress ball fidget</t>
        </is>
      </c>
      <c r="E10" s="12" t="n">
        <v>25</v>
      </c>
      <c r="F10" s="10" t="inlineStr">
        <is>
          <t>تقدير</t>
        </is>
      </c>
      <c r="G10" s="10" t="inlineStr">
        <is>
          <t>تقدير</t>
        </is>
      </c>
      <c r="H10" s="10" t="inlineStr">
        <is>
          <t>لم تُفحص</t>
        </is>
      </c>
      <c r="I10" s="10" t="inlineStr">
        <is>
          <t>لم يُفحص</t>
        </is>
      </c>
      <c r="J10" s="13" t="n">
        <v>0.6</v>
      </c>
      <c r="K10" s="11" t="inlineStr">
        <is>
          <t>تقدير</t>
        </is>
      </c>
      <c r="L10" s="14" t="n">
        <v>0.05</v>
      </c>
      <c r="M10" s="10" t="inlineStr">
        <is>
          <t>صغير</t>
        </is>
      </c>
      <c r="N10" s="11" t="inlineStr">
        <is>
          <t>طوال السنة</t>
        </is>
      </c>
      <c r="O10" s="11" t="inlineStr">
        <is>
          <t>لا</t>
        </is>
      </c>
      <c r="P10" s="15" t="n">
        <v>0.14</v>
      </c>
      <c r="Q10" s="14" t="n">
        <v>6</v>
      </c>
      <c r="R10" s="14" t="n">
        <v>50</v>
      </c>
      <c r="S10" s="16">
        <f>J10*'الافتراضات'!$B$2*(1+'الافتراضات'!$B$3)</f>
        <v/>
      </c>
      <c r="T10" s="16">
        <f>L10*'الافتراضات'!$B$4</f>
        <v/>
      </c>
      <c r="U10" s="16">
        <f>(S10+T10)*'الافتراضات'!$B$5</f>
        <v/>
      </c>
      <c r="V10" s="16">
        <f>S10+T10+U10</f>
        <v/>
      </c>
      <c r="W10" s="16">
        <f>MAX(1,E10*P10)</f>
        <v/>
      </c>
      <c r="X10" s="16">
        <f>E10*'الافتراضات'!$B$7</f>
        <v/>
      </c>
      <c r="Y10" s="16">
        <f>E10*'الافتراضات'!$B$8</f>
        <v/>
      </c>
      <c r="Z10" s="16">
        <f>E10/(1+'الافتراضات'!$B$6)</f>
        <v/>
      </c>
      <c r="AA10" s="16">
        <f>Z10-V10-W10-Q10-X10-Y10</f>
        <v/>
      </c>
      <c r="AB10" s="17">
        <f>IF(Z10=0,0,AA10/Z10)</f>
        <v/>
      </c>
      <c r="AC10" s="17">
        <f>IF(V10=0,0,AA10/V10)</f>
        <v/>
      </c>
      <c r="AD10" s="18">
        <f>R10*V10</f>
        <v/>
      </c>
      <c r="AE10" s="16">
        <f>IF(AB10&gt;='الافتراضات'!$B$9,IF(O10="لا","ابدأ به","جيد – يحتاج شهادة"),IF(AB10&gt;='الافتراضات'!$B$10,"مقبول","ضعيف"))</f>
        <v/>
      </c>
      <c r="AF10" s="16">
        <f>IF((1-'الافتراضات'!$B$9)/(1+'الافتراضات'!$B$6)-P10-'الافتراضات'!$B$7-'الافتراضات'!$B$8&lt;=0,0,(V10+Q10)/((1-'الافتراضات'!$B$9)/(1+'الافتراضات'!$B$6)-P10-'الافتراضات'!$B$7-'الافتراضات'!$B$8))</f>
        <v/>
      </c>
    </row>
    <row r="11">
      <c r="A11" s="10" t="n">
        <v>10</v>
      </c>
      <c r="B11" s="11" t="inlineStr">
        <is>
          <t>التنظيف والغسيل</t>
        </is>
      </c>
      <c r="C11" s="11" t="inlineStr">
        <is>
          <t>قفازات تنظيف مطاطية</t>
        </is>
      </c>
      <c r="D11" s="11" t="inlineStr">
        <is>
          <t>rubber cleaning gloves</t>
        </is>
      </c>
      <c r="E11" s="12" t="n">
        <v>25</v>
      </c>
      <c r="F11" s="10" t="inlineStr">
        <is>
          <t>تقدير</t>
        </is>
      </c>
      <c r="G11" s="10" t="inlineStr">
        <is>
          <t>تقدير</t>
        </is>
      </c>
      <c r="H11" s="10" t="inlineStr">
        <is>
          <t>لم تُفحص</t>
        </is>
      </c>
      <c r="I11" s="10" t="inlineStr">
        <is>
          <t>لم يُفحص</t>
        </is>
      </c>
      <c r="J11" s="13" t="n">
        <v>0.8</v>
      </c>
      <c r="K11" s="11" t="inlineStr">
        <is>
          <t>تقدير</t>
        </is>
      </c>
      <c r="L11" s="14" t="n">
        <v>0.1</v>
      </c>
      <c r="M11" s="10" t="inlineStr">
        <is>
          <t>صغير</t>
        </is>
      </c>
      <c r="N11" s="11" t="inlineStr">
        <is>
          <t>طوال السنة</t>
        </is>
      </c>
      <c r="O11" s="11" t="inlineStr">
        <is>
          <t>لا</t>
        </is>
      </c>
      <c r="P11" s="15" t="n">
        <v>0.09</v>
      </c>
      <c r="Q11" s="14" t="n">
        <v>6</v>
      </c>
      <c r="R11" s="14" t="n">
        <v>50</v>
      </c>
      <c r="S11" s="16">
        <f>J11*'الافتراضات'!$B$2*(1+'الافتراضات'!$B$3)</f>
        <v/>
      </c>
      <c r="T11" s="16">
        <f>L11*'الافتراضات'!$B$4</f>
        <v/>
      </c>
      <c r="U11" s="16">
        <f>(S11+T11)*'الافتراضات'!$B$5</f>
        <v/>
      </c>
      <c r="V11" s="16">
        <f>S11+T11+U11</f>
        <v/>
      </c>
      <c r="W11" s="16">
        <f>MAX(1,E11*P11)</f>
        <v/>
      </c>
      <c r="X11" s="16">
        <f>E11*'الافتراضات'!$B$7</f>
        <v/>
      </c>
      <c r="Y11" s="16">
        <f>E11*'الافتراضات'!$B$8</f>
        <v/>
      </c>
      <c r="Z11" s="16">
        <f>E11/(1+'الافتراضات'!$B$6)</f>
        <v/>
      </c>
      <c r="AA11" s="16">
        <f>Z11-V11-W11-Q11-X11-Y11</f>
        <v/>
      </c>
      <c r="AB11" s="17">
        <f>IF(Z11=0,0,AA11/Z11)</f>
        <v/>
      </c>
      <c r="AC11" s="17">
        <f>IF(V11=0,0,AA11/V11)</f>
        <v/>
      </c>
      <c r="AD11" s="18">
        <f>R11*V11</f>
        <v/>
      </c>
      <c r="AE11" s="16">
        <f>IF(AB11&gt;='الافتراضات'!$B$9,IF(O11="لا","ابدأ به","جيد – يحتاج شهادة"),IF(AB11&gt;='الافتراضات'!$B$10,"مقبول","ضعيف"))</f>
        <v/>
      </c>
      <c r="AF11" s="16">
        <f>IF((1-'الافتراضات'!$B$9)/(1+'الافتراضات'!$B$6)-P11-'الافتراضات'!$B$7-'الافتراضات'!$B$8&lt;=0,0,(V11+Q11)/((1-'الافتراضات'!$B$9)/(1+'الافتراضات'!$B$6)-P11-'الافتراضات'!$B$7-'الافتراضات'!$B$8))</f>
        <v/>
      </c>
    </row>
    <row r="12">
      <c r="A12" s="10" t="n">
        <v>11</v>
      </c>
      <c r="B12" s="11" t="inlineStr">
        <is>
          <t>إكسسوارات الجوال والإلكترونيات</t>
        </is>
      </c>
      <c r="C12" s="11" t="inlineStr">
        <is>
          <t>جيمبال ثبات للجوال</t>
        </is>
      </c>
      <c r="D12" s="11" t="inlineStr">
        <is>
          <t>phone gimbal stabilizer</t>
        </is>
      </c>
      <c r="E12" s="12" t="n">
        <v>317</v>
      </c>
      <c r="F12" s="10" t="inlineStr">
        <is>
          <t>تقدير</t>
        </is>
      </c>
      <c r="G12" s="10" t="inlineStr">
        <is>
          <t>تقدير</t>
        </is>
      </c>
      <c r="H12" s="10" t="inlineStr">
        <is>
          <t>لم تُفحص</t>
        </is>
      </c>
      <c r="I12" s="10" t="inlineStr">
        <is>
          <t>لم يُفحص</t>
        </is>
      </c>
      <c r="J12" s="13" t="n">
        <v>28</v>
      </c>
      <c r="K12" s="11" t="inlineStr">
        <is>
          <t>تقدير</t>
        </is>
      </c>
      <c r="L12" s="14" t="n">
        <v>0.6</v>
      </c>
      <c r="M12" s="10" t="inlineStr">
        <is>
          <t>متوسط</t>
        </is>
      </c>
      <c r="N12" s="11" t="inlineStr">
        <is>
          <t>طوال السنة</t>
        </is>
      </c>
      <c r="O12" s="11" t="inlineStr">
        <is>
          <t>SABER + بطارية ليثيوم</t>
        </is>
      </c>
      <c r="P12" s="15" t="n">
        <v>0.08</v>
      </c>
      <c r="Q12" s="14" t="n">
        <v>10</v>
      </c>
      <c r="R12" s="14" t="n">
        <v>50</v>
      </c>
      <c r="S12" s="16">
        <f>J12*'الافتراضات'!$B$2*(1+'الافتراضات'!$B$3)</f>
        <v/>
      </c>
      <c r="T12" s="16">
        <f>L12*'الافتراضات'!$B$4</f>
        <v/>
      </c>
      <c r="U12" s="16">
        <f>(S12+T12)*'الافتراضات'!$B$5</f>
        <v/>
      </c>
      <c r="V12" s="16">
        <f>S12+T12+U12</f>
        <v/>
      </c>
      <c r="W12" s="16">
        <f>MAX(1,E12*P12)</f>
        <v/>
      </c>
      <c r="X12" s="16">
        <f>E12*'الافتراضات'!$B$7</f>
        <v/>
      </c>
      <c r="Y12" s="16">
        <f>E12*'الافتراضات'!$B$8</f>
        <v/>
      </c>
      <c r="Z12" s="16">
        <f>E12/(1+'الافتراضات'!$B$6)</f>
        <v/>
      </c>
      <c r="AA12" s="16">
        <f>Z12-V12-W12-Q12-X12-Y12</f>
        <v/>
      </c>
      <c r="AB12" s="17">
        <f>IF(Z12=0,0,AA12/Z12)</f>
        <v/>
      </c>
      <c r="AC12" s="17">
        <f>IF(V12=0,0,AA12/V12)</f>
        <v/>
      </c>
      <c r="AD12" s="18">
        <f>R12*V12</f>
        <v/>
      </c>
      <c r="AE12" s="16">
        <f>IF(AB12&gt;='الافتراضات'!$B$9,IF(O12="لا","ابدأ به","جيد – يحتاج شهادة"),IF(AB12&gt;='الافتراضات'!$B$10,"مقبول","ضعيف"))</f>
        <v/>
      </c>
      <c r="AF12" s="16">
        <f>IF((1-'الافتراضات'!$B$9)/(1+'الافتراضات'!$B$6)-P12-'الافتراضات'!$B$7-'الافتراضات'!$B$8&lt;=0,0,(V12+Q12)/((1-'الافتراضات'!$B$9)/(1+'الافتراضات'!$B$6)-P12-'الافتراضات'!$B$7-'الافتراضات'!$B$8))</f>
        <v/>
      </c>
    </row>
    <row r="13">
      <c r="A13" s="10" t="n">
        <v>12</v>
      </c>
      <c r="B13" s="11" t="inlineStr">
        <is>
          <t>إكسسوارات الجوال والإلكترونيات</t>
        </is>
      </c>
      <c r="C13" s="11" t="inlineStr">
        <is>
          <t>حامل جوال بحلقة</t>
        </is>
      </c>
      <c r="D13" s="11" t="inlineStr">
        <is>
          <t>phone ring holder grip</t>
        </is>
      </c>
      <c r="E13" s="12" t="n">
        <v>25</v>
      </c>
      <c r="F13" s="10" t="inlineStr">
        <is>
          <t>تقدير</t>
        </is>
      </c>
      <c r="G13" s="10" t="inlineStr">
        <is>
          <t>تقدير</t>
        </is>
      </c>
      <c r="H13" s="10" t="inlineStr">
        <is>
          <t>لم تُفحص</t>
        </is>
      </c>
      <c r="I13" s="10" t="inlineStr">
        <is>
          <t>لم يُفحص</t>
        </is>
      </c>
      <c r="J13" s="13" t="n">
        <v>0.4</v>
      </c>
      <c r="K13" s="11" t="inlineStr">
        <is>
          <t>تقدير</t>
        </is>
      </c>
      <c r="L13" s="14" t="n">
        <v>0.03</v>
      </c>
      <c r="M13" s="10" t="inlineStr">
        <is>
          <t>صغير</t>
        </is>
      </c>
      <c r="N13" s="11" t="inlineStr">
        <is>
          <t>طوال السنة</t>
        </is>
      </c>
      <c r="O13" s="11" t="inlineStr">
        <is>
          <t>لا</t>
        </is>
      </c>
      <c r="P13" s="15" t="n">
        <v>0.2</v>
      </c>
      <c r="Q13" s="14" t="n">
        <v>6</v>
      </c>
      <c r="R13" s="14" t="n">
        <v>50</v>
      </c>
      <c r="S13" s="16">
        <f>J13*'الافتراضات'!$B$2*(1+'الافتراضات'!$B$3)</f>
        <v/>
      </c>
      <c r="T13" s="16">
        <f>L13*'الافتراضات'!$B$4</f>
        <v/>
      </c>
      <c r="U13" s="16">
        <f>(S13+T13)*'الافتراضات'!$B$5</f>
        <v/>
      </c>
      <c r="V13" s="16">
        <f>S13+T13+U13</f>
        <v/>
      </c>
      <c r="W13" s="16">
        <f>MAX(1,E13*P13)</f>
        <v/>
      </c>
      <c r="X13" s="16">
        <f>E13*'الافتراضات'!$B$7</f>
        <v/>
      </c>
      <c r="Y13" s="16">
        <f>E13*'الافتراضات'!$B$8</f>
        <v/>
      </c>
      <c r="Z13" s="16">
        <f>E13/(1+'الافتراضات'!$B$6)</f>
        <v/>
      </c>
      <c r="AA13" s="16">
        <f>Z13-V13-W13-Q13-X13-Y13</f>
        <v/>
      </c>
      <c r="AB13" s="17">
        <f>IF(Z13=0,0,AA13/Z13)</f>
        <v/>
      </c>
      <c r="AC13" s="17">
        <f>IF(V13=0,0,AA13/V13)</f>
        <v/>
      </c>
      <c r="AD13" s="18">
        <f>R13*V13</f>
        <v/>
      </c>
      <c r="AE13" s="16">
        <f>IF(AB13&gt;='الافتراضات'!$B$9,IF(O13="لا","ابدأ به","جيد – يحتاج شهادة"),IF(AB13&gt;='الافتراضات'!$B$10,"مقبول","ضعيف"))</f>
        <v/>
      </c>
      <c r="AF13" s="16">
        <f>IF((1-'الافتراضات'!$B$9)/(1+'الافتراضات'!$B$6)-P13-'الافتراضات'!$B$7-'الافتراضات'!$B$8&lt;=0,0,(V13+Q13)/((1-'الافتراضات'!$B$9)/(1+'الافتراضات'!$B$6)-P13-'الافتراضات'!$B$7-'الافتراضات'!$B$8))</f>
        <v/>
      </c>
    </row>
    <row r="14">
      <c r="A14" s="10" t="n">
        <v>13</v>
      </c>
      <c r="B14" s="11" t="inlineStr">
        <is>
          <t>السيارات والدراجات</t>
        </is>
      </c>
      <c r="C14" s="11" t="inlineStr">
        <is>
          <t>جهاز تشغيل طارئ للسيارة</t>
        </is>
      </c>
      <c r="D14" s="11" t="inlineStr">
        <is>
          <t>car jump starter power bank</t>
        </is>
      </c>
      <c r="E14" s="12" t="n">
        <v>249</v>
      </c>
      <c r="F14" s="10" t="inlineStr">
        <is>
          <t>تقدير</t>
        </is>
      </c>
      <c r="G14" s="10" t="inlineStr">
        <is>
          <t>تقدير</t>
        </is>
      </c>
      <c r="H14" s="10" t="inlineStr">
        <is>
          <t>لم تُفحص</t>
        </is>
      </c>
      <c r="I14" s="10" t="inlineStr">
        <is>
          <t>لم يُفحص</t>
        </is>
      </c>
      <c r="J14" s="13" t="n">
        <v>22</v>
      </c>
      <c r="K14" s="11" t="inlineStr">
        <is>
          <t>تقدير</t>
        </is>
      </c>
      <c r="L14" s="14" t="n">
        <v>1.2</v>
      </c>
      <c r="M14" s="10" t="inlineStr">
        <is>
          <t>متوسط</t>
        </is>
      </c>
      <c r="N14" s="11" t="inlineStr">
        <is>
          <t>طوال السنة</t>
        </is>
      </c>
      <c r="O14" s="11" t="inlineStr">
        <is>
          <t>SABER + بطارية ليثيوم</t>
        </is>
      </c>
      <c r="P14" s="15" t="n">
        <v>0.06</v>
      </c>
      <c r="Q14" s="14" t="n">
        <v>11.5</v>
      </c>
      <c r="R14" s="14" t="n">
        <v>50</v>
      </c>
      <c r="S14" s="16">
        <f>J14*'الافتراضات'!$B$2*(1+'الافتراضات'!$B$3)</f>
        <v/>
      </c>
      <c r="T14" s="16">
        <f>L14*'الافتراضات'!$B$4</f>
        <v/>
      </c>
      <c r="U14" s="16">
        <f>(S14+T14)*'الافتراضات'!$B$5</f>
        <v/>
      </c>
      <c r="V14" s="16">
        <f>S14+T14+U14</f>
        <v/>
      </c>
      <c r="W14" s="16">
        <f>MAX(1,E14*P14)</f>
        <v/>
      </c>
      <c r="X14" s="16">
        <f>E14*'الافتراضات'!$B$7</f>
        <v/>
      </c>
      <c r="Y14" s="16">
        <f>E14*'الافتراضات'!$B$8</f>
        <v/>
      </c>
      <c r="Z14" s="16">
        <f>E14/(1+'الافتراضات'!$B$6)</f>
        <v/>
      </c>
      <c r="AA14" s="16">
        <f>Z14-V14-W14-Q14-X14-Y14</f>
        <v/>
      </c>
      <c r="AB14" s="17">
        <f>IF(Z14=0,0,AA14/Z14)</f>
        <v/>
      </c>
      <c r="AC14" s="17">
        <f>IF(V14=0,0,AA14/V14)</f>
        <v/>
      </c>
      <c r="AD14" s="18">
        <f>R14*V14</f>
        <v/>
      </c>
      <c r="AE14" s="16">
        <f>IF(AB14&gt;='الافتراضات'!$B$9,IF(O14="لا","ابدأ به","جيد – يحتاج شهادة"),IF(AB14&gt;='الافتراضات'!$B$10,"مقبول","ضعيف"))</f>
        <v/>
      </c>
      <c r="AF14" s="16">
        <f>IF((1-'الافتراضات'!$B$9)/(1+'الافتراضات'!$B$6)-P14-'الافتراضات'!$B$7-'الافتراضات'!$B$8&lt;=0,0,(V14+Q14)/((1-'الافتراضات'!$B$9)/(1+'الافتراضات'!$B$6)-P14-'الافتراضات'!$B$7-'الافتراضات'!$B$8))</f>
        <v/>
      </c>
    </row>
    <row r="15">
      <c r="A15" s="10" t="n">
        <v>14</v>
      </c>
      <c r="B15" s="11" t="inlineStr">
        <is>
          <t>إكسسوارات الجوال والإلكترونيات</t>
        </is>
      </c>
      <c r="C15" s="11" t="inlineStr">
        <is>
          <t>كاميرا رياضية 4K</t>
        </is>
      </c>
      <c r="D15" s="11" t="inlineStr">
        <is>
          <t>action camera 4K waterproof</t>
        </is>
      </c>
      <c r="E15" s="12" t="n">
        <v>249</v>
      </c>
      <c r="F15" s="10" t="inlineStr">
        <is>
          <t>تقدير</t>
        </is>
      </c>
      <c r="G15" s="10" t="inlineStr">
        <is>
          <t>تقدير</t>
        </is>
      </c>
      <c r="H15" s="10" t="inlineStr">
        <is>
          <t>لم تُفحص</t>
        </is>
      </c>
      <c r="I15" s="10" t="inlineStr">
        <is>
          <t>لم يُفحص</t>
        </is>
      </c>
      <c r="J15" s="13" t="n">
        <v>22</v>
      </c>
      <c r="K15" s="11" t="inlineStr">
        <is>
          <t>تقدير</t>
        </is>
      </c>
      <c r="L15" s="14" t="n">
        <v>0.35</v>
      </c>
      <c r="M15" s="10" t="inlineStr">
        <is>
          <t>صغير</t>
        </is>
      </c>
      <c r="N15" s="11" t="inlineStr">
        <is>
          <t>طوال السنة</t>
        </is>
      </c>
      <c r="O15" s="11" t="inlineStr">
        <is>
          <t>SABER + بطارية ليثيوم</t>
        </is>
      </c>
      <c r="P15" s="15" t="n">
        <v>0.1</v>
      </c>
      <c r="Q15" s="14" t="n">
        <v>9.5</v>
      </c>
      <c r="R15" s="14" t="n">
        <v>50</v>
      </c>
      <c r="S15" s="16">
        <f>J15*'الافتراضات'!$B$2*(1+'الافتراضات'!$B$3)</f>
        <v/>
      </c>
      <c r="T15" s="16">
        <f>L15*'الافتراضات'!$B$4</f>
        <v/>
      </c>
      <c r="U15" s="16">
        <f>(S15+T15)*'الافتراضات'!$B$5</f>
        <v/>
      </c>
      <c r="V15" s="16">
        <f>S15+T15+U15</f>
        <v/>
      </c>
      <c r="W15" s="16">
        <f>MAX(1,E15*P15)</f>
        <v/>
      </c>
      <c r="X15" s="16">
        <f>E15*'الافتراضات'!$B$7</f>
        <v/>
      </c>
      <c r="Y15" s="16">
        <f>E15*'الافتراضات'!$B$8</f>
        <v/>
      </c>
      <c r="Z15" s="16">
        <f>E15/(1+'الافتراضات'!$B$6)</f>
        <v/>
      </c>
      <c r="AA15" s="16">
        <f>Z15-V15-W15-Q15-X15-Y15</f>
        <v/>
      </c>
      <c r="AB15" s="17">
        <f>IF(Z15=0,0,AA15/Z15)</f>
        <v/>
      </c>
      <c r="AC15" s="17">
        <f>IF(V15=0,0,AA15/V15)</f>
        <v/>
      </c>
      <c r="AD15" s="18">
        <f>R15*V15</f>
        <v/>
      </c>
      <c r="AE15" s="16">
        <f>IF(AB15&gt;='الافتراضات'!$B$9,IF(O15="لا","ابدأ به","جيد – يحتاج شهادة"),IF(AB15&gt;='الافتراضات'!$B$10,"مقبول","ضعيف"))</f>
        <v/>
      </c>
      <c r="AF15" s="16">
        <f>IF((1-'الافتراضات'!$B$9)/(1+'الافتراضات'!$B$6)-P15-'الافتراضات'!$B$7-'الافتراضات'!$B$8&lt;=0,0,(V15+Q15)/((1-'الافتراضات'!$B$9)/(1+'الافتراضات'!$B$6)-P15-'الافتراضات'!$B$7-'الافتراضات'!$B$8))</f>
        <v/>
      </c>
    </row>
    <row r="16">
      <c r="A16" s="10" t="n">
        <v>15</v>
      </c>
      <c r="B16" s="11" t="inlineStr">
        <is>
          <t>الإضاءة والديكور</t>
        </is>
      </c>
      <c r="C16" s="11" t="inlineStr">
        <is>
          <t>لمبة LED ذكية</t>
        </is>
      </c>
      <c r="D16" s="11" t="inlineStr">
        <is>
          <t>LED bulb E27 9W</t>
        </is>
      </c>
      <c r="E16" s="12" t="n">
        <v>25</v>
      </c>
      <c r="F16" s="10" t="inlineStr">
        <is>
          <t>تقدير</t>
        </is>
      </c>
      <c r="G16" s="10" t="inlineStr">
        <is>
          <t>تقدير</t>
        </is>
      </c>
      <c r="H16" s="10" t="inlineStr">
        <is>
          <t>لم تُفحص</t>
        </is>
      </c>
      <c r="I16" s="10" t="inlineStr">
        <is>
          <t>لم يُفحص</t>
        </is>
      </c>
      <c r="J16" s="13" t="n">
        <v>0.7</v>
      </c>
      <c r="K16" s="11" t="inlineStr">
        <is>
          <t>تقدير</t>
        </is>
      </c>
      <c r="L16" s="14" t="n">
        <v>0.08</v>
      </c>
      <c r="M16" s="10" t="inlineStr">
        <is>
          <t>صغير</t>
        </is>
      </c>
      <c r="N16" s="11" t="inlineStr">
        <is>
          <t>طوال السنة</t>
        </is>
      </c>
      <c r="O16" s="11" t="inlineStr">
        <is>
          <t>SABER</t>
        </is>
      </c>
      <c r="P16" s="15" t="n">
        <v>0.14</v>
      </c>
      <c r="Q16" s="14" t="n">
        <v>6</v>
      </c>
      <c r="R16" s="14" t="n">
        <v>50</v>
      </c>
      <c r="S16" s="16">
        <f>J16*'الافتراضات'!$B$2*(1+'الافتراضات'!$B$3)</f>
        <v/>
      </c>
      <c r="T16" s="16">
        <f>L16*'الافتراضات'!$B$4</f>
        <v/>
      </c>
      <c r="U16" s="16">
        <f>(S16+T16)*'الافتراضات'!$B$5</f>
        <v/>
      </c>
      <c r="V16" s="16">
        <f>S16+T16+U16</f>
        <v/>
      </c>
      <c r="W16" s="16">
        <f>MAX(1,E16*P16)</f>
        <v/>
      </c>
      <c r="X16" s="16">
        <f>E16*'الافتراضات'!$B$7</f>
        <v/>
      </c>
      <c r="Y16" s="16">
        <f>E16*'الافتراضات'!$B$8</f>
        <v/>
      </c>
      <c r="Z16" s="16">
        <f>E16/(1+'الافتراضات'!$B$6)</f>
        <v/>
      </c>
      <c r="AA16" s="16">
        <f>Z16-V16-W16-Q16-X16-Y16</f>
        <v/>
      </c>
      <c r="AB16" s="17">
        <f>IF(Z16=0,0,AA16/Z16)</f>
        <v/>
      </c>
      <c r="AC16" s="17">
        <f>IF(V16=0,0,AA16/V16)</f>
        <v/>
      </c>
      <c r="AD16" s="18">
        <f>R16*V16</f>
        <v/>
      </c>
      <c r="AE16" s="16">
        <f>IF(AB16&gt;='الافتراضات'!$B$9,IF(O16="لا","ابدأ به","جيد – يحتاج شهادة"),IF(AB16&gt;='الافتراضات'!$B$10,"مقبول","ضعيف"))</f>
        <v/>
      </c>
      <c r="AF16" s="16">
        <f>IF((1-'الافتراضات'!$B$9)/(1+'الافتراضات'!$B$6)-P16-'الافتراضات'!$B$7-'الافتراضات'!$B$8&lt;=0,0,(V16+Q16)/((1-'الافتراضات'!$B$9)/(1+'الافتراضات'!$B$6)-P16-'الافتراضات'!$B$7-'الافتراضات'!$B$8))</f>
        <v/>
      </c>
    </row>
    <row r="17">
      <c r="A17" s="10" t="n">
        <v>16</v>
      </c>
      <c r="B17" s="11" t="inlineStr">
        <is>
          <t>إكسسوارات الجوال والإلكترونيات</t>
        </is>
      </c>
      <c r="C17" s="11" t="inlineStr">
        <is>
          <t>لوحة مفاتيح ماوس زجاج حماية</t>
        </is>
      </c>
      <c r="D17" s="11" t="inlineStr">
        <is>
          <t>keyboard cover silicone</t>
        </is>
      </c>
      <c r="E17" s="12" t="n">
        <v>25</v>
      </c>
      <c r="F17" s="10" t="inlineStr">
        <is>
          <t>تقدير</t>
        </is>
      </c>
      <c r="G17" s="10" t="inlineStr">
        <is>
          <t>تقدير</t>
        </is>
      </c>
      <c r="H17" s="10" t="inlineStr">
        <is>
          <t>لم تُفحص</t>
        </is>
      </c>
      <c r="I17" s="10" t="inlineStr">
        <is>
          <t>لم يُفحص</t>
        </is>
      </c>
      <c r="J17" s="13" t="n">
        <v>0.8</v>
      </c>
      <c r="K17" s="11" t="inlineStr">
        <is>
          <t>تقدير</t>
        </is>
      </c>
      <c r="L17" s="14" t="n">
        <v>0.06</v>
      </c>
      <c r="M17" s="10" t="inlineStr">
        <is>
          <t>صغير</t>
        </is>
      </c>
      <c r="N17" s="11" t="inlineStr">
        <is>
          <t>طوال السنة</t>
        </is>
      </c>
      <c r="O17" s="11" t="inlineStr">
        <is>
          <t>لا</t>
        </is>
      </c>
      <c r="P17" s="15" t="n">
        <v>0.13</v>
      </c>
      <c r="Q17" s="14" t="n">
        <v>6</v>
      </c>
      <c r="R17" s="14" t="n">
        <v>50</v>
      </c>
      <c r="S17" s="16">
        <f>J17*'الافتراضات'!$B$2*(1+'الافتراضات'!$B$3)</f>
        <v/>
      </c>
      <c r="T17" s="16">
        <f>L17*'الافتراضات'!$B$4</f>
        <v/>
      </c>
      <c r="U17" s="16">
        <f>(S17+T17)*'الافتراضات'!$B$5</f>
        <v/>
      </c>
      <c r="V17" s="16">
        <f>S17+T17+U17</f>
        <v/>
      </c>
      <c r="W17" s="16">
        <f>MAX(1,E17*P17)</f>
        <v/>
      </c>
      <c r="X17" s="16">
        <f>E17*'الافتراضات'!$B$7</f>
        <v/>
      </c>
      <c r="Y17" s="16">
        <f>E17*'الافتراضات'!$B$8</f>
        <v/>
      </c>
      <c r="Z17" s="16">
        <f>E17/(1+'الافتراضات'!$B$6)</f>
        <v/>
      </c>
      <c r="AA17" s="16">
        <f>Z17-V17-W17-Q17-X17-Y17</f>
        <v/>
      </c>
      <c r="AB17" s="17">
        <f>IF(Z17=0,0,AA17/Z17)</f>
        <v/>
      </c>
      <c r="AC17" s="17">
        <f>IF(V17=0,0,AA17/V17)</f>
        <v/>
      </c>
      <c r="AD17" s="18">
        <f>R17*V17</f>
        <v/>
      </c>
      <c r="AE17" s="16">
        <f>IF(AB17&gt;='الافتراضات'!$B$9,IF(O17="لا","ابدأ به","جيد – يحتاج شهادة"),IF(AB17&gt;='الافتراضات'!$B$10,"مقبول","ضعيف"))</f>
        <v/>
      </c>
      <c r="AF17" s="16">
        <f>IF((1-'الافتراضات'!$B$9)/(1+'الافتراضات'!$B$6)-P17-'الافتراضات'!$B$7-'الافتراضات'!$B$8&lt;=0,0,(V17+Q17)/((1-'الافتراضات'!$B$9)/(1+'الافتراضات'!$B$6)-P17-'الافتراضات'!$B$7-'الافتراضات'!$B$8))</f>
        <v/>
      </c>
    </row>
    <row r="18">
      <c r="A18" s="10" t="n">
        <v>17</v>
      </c>
      <c r="B18" s="11" t="inlineStr">
        <is>
          <t>إكسسوارات الجوال والإلكترونيات</t>
        </is>
      </c>
      <c r="C18" s="11" t="inlineStr">
        <is>
          <t>حامل راوتر للجدار</t>
        </is>
      </c>
      <c r="D18" s="11" t="inlineStr">
        <is>
          <t>router wall mount holder</t>
        </is>
      </c>
      <c r="E18" s="12" t="n">
        <v>25</v>
      </c>
      <c r="F18" s="10" t="inlineStr">
        <is>
          <t>تقدير</t>
        </is>
      </c>
      <c r="G18" s="10" t="inlineStr">
        <is>
          <t>تقدير</t>
        </is>
      </c>
      <c r="H18" s="10" t="inlineStr">
        <is>
          <t>لم تُفحص</t>
        </is>
      </c>
      <c r="I18" s="10" t="inlineStr">
        <is>
          <t>لم يُفحص</t>
        </is>
      </c>
      <c r="J18" s="13" t="n">
        <v>0.8</v>
      </c>
      <c r="K18" s="11" t="inlineStr">
        <is>
          <t>تقدير</t>
        </is>
      </c>
      <c r="L18" s="14" t="n">
        <v>0.15</v>
      </c>
      <c r="M18" s="10" t="inlineStr">
        <is>
          <t>صغير</t>
        </is>
      </c>
      <c r="N18" s="11" t="inlineStr">
        <is>
          <t>طوال السنة</t>
        </is>
      </c>
      <c r="O18" s="11" t="inlineStr">
        <is>
          <t>لا</t>
        </is>
      </c>
      <c r="P18" s="15" t="n">
        <v>0.06</v>
      </c>
      <c r="Q18" s="14" t="n">
        <v>7</v>
      </c>
      <c r="R18" s="14" t="n">
        <v>50</v>
      </c>
      <c r="S18" s="16">
        <f>J18*'الافتراضات'!$B$2*(1+'الافتراضات'!$B$3)</f>
        <v/>
      </c>
      <c r="T18" s="16">
        <f>L18*'الافتراضات'!$B$4</f>
        <v/>
      </c>
      <c r="U18" s="16">
        <f>(S18+T18)*'الافتراضات'!$B$5</f>
        <v/>
      </c>
      <c r="V18" s="16">
        <f>S18+T18+U18</f>
        <v/>
      </c>
      <c r="W18" s="16">
        <f>MAX(1,E18*P18)</f>
        <v/>
      </c>
      <c r="X18" s="16">
        <f>E18*'الافتراضات'!$B$7</f>
        <v/>
      </c>
      <c r="Y18" s="16">
        <f>E18*'الافتراضات'!$B$8</f>
        <v/>
      </c>
      <c r="Z18" s="16">
        <f>E18/(1+'الافتراضات'!$B$6)</f>
        <v/>
      </c>
      <c r="AA18" s="16">
        <f>Z18-V18-W18-Q18-X18-Y18</f>
        <v/>
      </c>
      <c r="AB18" s="17">
        <f>IF(Z18=0,0,AA18/Z18)</f>
        <v/>
      </c>
      <c r="AC18" s="17">
        <f>IF(V18=0,0,AA18/V18)</f>
        <v/>
      </c>
      <c r="AD18" s="18">
        <f>R18*V18</f>
        <v/>
      </c>
      <c r="AE18" s="16">
        <f>IF(AB18&gt;='الافتراضات'!$B$9,IF(O18="لا","ابدأ به","جيد – يحتاج شهادة"),IF(AB18&gt;='الافتراضات'!$B$10,"مقبول","ضعيف"))</f>
        <v/>
      </c>
      <c r="AF18" s="16">
        <f>IF((1-'الافتراضات'!$B$9)/(1+'الافتراضات'!$B$6)-P18-'الافتراضات'!$B$7-'الافتراضات'!$B$8&lt;=0,0,(V18+Q18)/((1-'الافتراضات'!$B$9)/(1+'الافتراضات'!$B$6)-P18-'الافتراضات'!$B$7-'الافتراضات'!$B$8))</f>
        <v/>
      </c>
    </row>
    <row r="19">
      <c r="A19" s="10" t="n">
        <v>18</v>
      </c>
      <c r="B19" s="11" t="inlineStr">
        <is>
          <t>السيارات والدراجات</t>
        </is>
      </c>
      <c r="C19" s="11" t="inlineStr">
        <is>
          <t>درابزين لباب السيارة</t>
        </is>
      </c>
      <c r="D19" s="11" t="inlineStr">
        <is>
          <t>car door handle protector</t>
        </is>
      </c>
      <c r="E19" s="12" t="n">
        <v>25</v>
      </c>
      <c r="F19" s="10" t="inlineStr">
        <is>
          <t>تقدير</t>
        </is>
      </c>
      <c r="G19" s="10" t="inlineStr">
        <is>
          <t>تقدير</t>
        </is>
      </c>
      <c r="H19" s="10" t="inlineStr">
        <is>
          <t>لم تُفحص</t>
        </is>
      </c>
      <c r="I19" s="10" t="inlineStr">
        <is>
          <t>لم يُفحص</t>
        </is>
      </c>
      <c r="J19" s="13" t="n">
        <v>0.9</v>
      </c>
      <c r="K19" s="11" t="inlineStr">
        <is>
          <t>تقدير</t>
        </is>
      </c>
      <c r="L19" s="14" t="n">
        <v>0.1</v>
      </c>
      <c r="M19" s="10" t="inlineStr">
        <is>
          <t>صغير</t>
        </is>
      </c>
      <c r="N19" s="11" t="inlineStr">
        <is>
          <t>طوال السنة</t>
        </is>
      </c>
      <c r="O19" s="11" t="inlineStr">
        <is>
          <t>لا</t>
        </is>
      </c>
      <c r="P19" s="15" t="n">
        <v>0.1</v>
      </c>
      <c r="Q19" s="14" t="n">
        <v>6</v>
      </c>
      <c r="R19" s="14" t="n">
        <v>50</v>
      </c>
      <c r="S19" s="16">
        <f>J19*'الافتراضات'!$B$2*(1+'الافتراضات'!$B$3)</f>
        <v/>
      </c>
      <c r="T19" s="16">
        <f>L19*'الافتراضات'!$B$4</f>
        <v/>
      </c>
      <c r="U19" s="16">
        <f>(S19+T19)*'الافتراضات'!$B$5</f>
        <v/>
      </c>
      <c r="V19" s="16">
        <f>S19+T19+U19</f>
        <v/>
      </c>
      <c r="W19" s="16">
        <f>MAX(1,E19*P19)</f>
        <v/>
      </c>
      <c r="X19" s="16">
        <f>E19*'الافتراضات'!$B$7</f>
        <v/>
      </c>
      <c r="Y19" s="16">
        <f>E19*'الافتراضات'!$B$8</f>
        <v/>
      </c>
      <c r="Z19" s="16">
        <f>E19/(1+'الافتراضات'!$B$6)</f>
        <v/>
      </c>
      <c r="AA19" s="16">
        <f>Z19-V19-W19-Q19-X19-Y19</f>
        <v/>
      </c>
      <c r="AB19" s="17">
        <f>IF(Z19=0,0,AA19/Z19)</f>
        <v/>
      </c>
      <c r="AC19" s="17">
        <f>IF(V19=0,0,AA19/V19)</f>
        <v/>
      </c>
      <c r="AD19" s="18">
        <f>R19*V19</f>
        <v/>
      </c>
      <c r="AE19" s="16">
        <f>IF(AB19&gt;='الافتراضات'!$B$9,IF(O19="لا","ابدأ به","جيد – يحتاج شهادة"),IF(AB19&gt;='الافتراضات'!$B$10,"مقبول","ضعيف"))</f>
        <v/>
      </c>
      <c r="AF19" s="16">
        <f>IF((1-'الافتراضات'!$B$9)/(1+'الافتراضات'!$B$6)-P19-'الافتراضات'!$B$7-'الافتراضات'!$B$8&lt;=0,0,(V19+Q19)/((1-'الافتراضات'!$B$9)/(1+'الافتراضات'!$B$6)-P19-'الافتراضات'!$B$7-'الافتراضات'!$B$8))</f>
        <v/>
      </c>
    </row>
    <row r="20">
      <c r="A20" s="10" t="n">
        <v>19</v>
      </c>
      <c r="B20" s="11" t="inlineStr">
        <is>
          <t>المنزل والمطبخ</t>
        </is>
      </c>
      <c r="C20" s="11" t="inlineStr">
        <is>
          <t>منظم أكياس بلاستيك للمطبخ</t>
        </is>
      </c>
      <c r="D20" s="11" t="inlineStr">
        <is>
          <t>plastic bag dispenser kitchen</t>
        </is>
      </c>
      <c r="E20" s="12" t="n">
        <v>25</v>
      </c>
      <c r="F20" s="10" t="inlineStr">
        <is>
          <t>تقدير</t>
        </is>
      </c>
      <c r="G20" s="10" t="inlineStr">
        <is>
          <t>تقدير</t>
        </is>
      </c>
      <c r="H20" s="10" t="inlineStr">
        <is>
          <t>لم تُفحص</t>
        </is>
      </c>
      <c r="I20" s="10" t="inlineStr">
        <is>
          <t>لم يُفحص</t>
        </is>
      </c>
      <c r="J20" s="13" t="n">
        <v>0.7</v>
      </c>
      <c r="K20" s="11" t="inlineStr">
        <is>
          <t>تقدير</t>
        </is>
      </c>
      <c r="L20" s="14" t="n">
        <v>0.1</v>
      </c>
      <c r="M20" s="10" t="inlineStr">
        <is>
          <t>صغير</t>
        </is>
      </c>
      <c r="N20" s="11" t="inlineStr">
        <is>
          <t>طوال السنة</t>
        </is>
      </c>
      <c r="O20" s="11" t="inlineStr">
        <is>
          <t>لا</t>
        </is>
      </c>
      <c r="P20" s="15" t="n">
        <v>0.14</v>
      </c>
      <c r="Q20" s="14" t="n">
        <v>6</v>
      </c>
      <c r="R20" s="14" t="n">
        <v>50</v>
      </c>
      <c r="S20" s="16">
        <f>J20*'الافتراضات'!$B$2*(1+'الافتراضات'!$B$3)</f>
        <v/>
      </c>
      <c r="T20" s="16">
        <f>L20*'الافتراضات'!$B$4</f>
        <v/>
      </c>
      <c r="U20" s="16">
        <f>(S20+T20)*'الافتراضات'!$B$5</f>
        <v/>
      </c>
      <c r="V20" s="16">
        <f>S20+T20+U20</f>
        <v/>
      </c>
      <c r="W20" s="16">
        <f>MAX(1,E20*P20)</f>
        <v/>
      </c>
      <c r="X20" s="16">
        <f>E20*'الافتراضات'!$B$7</f>
        <v/>
      </c>
      <c r="Y20" s="16">
        <f>E20*'الافتراضات'!$B$8</f>
        <v/>
      </c>
      <c r="Z20" s="16">
        <f>E20/(1+'الافتراضات'!$B$6)</f>
        <v/>
      </c>
      <c r="AA20" s="16">
        <f>Z20-V20-W20-Q20-X20-Y20</f>
        <v/>
      </c>
      <c r="AB20" s="17">
        <f>IF(Z20=0,0,AA20/Z20)</f>
        <v/>
      </c>
      <c r="AC20" s="17">
        <f>IF(V20=0,0,AA20/V20)</f>
        <v/>
      </c>
      <c r="AD20" s="18">
        <f>R20*V20</f>
        <v/>
      </c>
      <c r="AE20" s="16">
        <f>IF(AB20&gt;='الافتراضات'!$B$9,IF(O20="لا","ابدأ به","جيد – يحتاج شهادة"),IF(AB20&gt;='الافتراضات'!$B$10,"مقبول","ضعيف"))</f>
        <v/>
      </c>
      <c r="AF20" s="16">
        <f>IF((1-'الافتراضات'!$B$9)/(1+'الافتراضات'!$B$6)-P20-'الافتراضات'!$B$7-'الافتراضات'!$B$8&lt;=0,0,(V20+Q20)/((1-'الافتراضات'!$B$9)/(1+'الافتراضات'!$B$6)-P20-'الافتراضات'!$B$7-'الافتراضات'!$B$8))</f>
        <v/>
      </c>
    </row>
    <row r="21">
      <c r="A21" s="10" t="n">
        <v>20</v>
      </c>
      <c r="B21" s="11" t="inlineStr">
        <is>
          <t>المنزل والمطبخ</t>
        </is>
      </c>
      <c r="C21" s="11" t="inlineStr">
        <is>
          <t>قناع نوم حريري</t>
        </is>
      </c>
      <c r="D21" s="11" t="inlineStr">
        <is>
          <t>silk sleep eye mask</t>
        </is>
      </c>
      <c r="E21" s="12" t="n">
        <v>25</v>
      </c>
      <c r="F21" s="10" t="inlineStr">
        <is>
          <t>تقدير</t>
        </is>
      </c>
      <c r="G21" s="10" t="inlineStr">
        <is>
          <t>تقدير</t>
        </is>
      </c>
      <c r="H21" s="10" t="inlineStr">
        <is>
          <t>لم تُفحص</t>
        </is>
      </c>
      <c r="I21" s="10" t="inlineStr">
        <is>
          <t>لم يُفحص</t>
        </is>
      </c>
      <c r="J21" s="13" t="n">
        <v>0.8</v>
      </c>
      <c r="K21" s="11" t="inlineStr">
        <is>
          <t>تقدير</t>
        </is>
      </c>
      <c r="L21" s="14" t="n">
        <v>0.05</v>
      </c>
      <c r="M21" s="10" t="inlineStr">
        <is>
          <t>صغير</t>
        </is>
      </c>
      <c r="N21" s="11" t="inlineStr">
        <is>
          <t>طوال السنة</t>
        </is>
      </c>
      <c r="O21" s="11" t="inlineStr">
        <is>
          <t>لا</t>
        </is>
      </c>
      <c r="P21" s="15" t="n">
        <v>0.14</v>
      </c>
      <c r="Q21" s="14" t="n">
        <v>6</v>
      </c>
      <c r="R21" s="14" t="n">
        <v>50</v>
      </c>
      <c r="S21" s="16">
        <f>J21*'الافتراضات'!$B$2*(1+'الافتراضات'!$B$3)</f>
        <v/>
      </c>
      <c r="T21" s="16">
        <f>L21*'الافتراضات'!$B$4</f>
        <v/>
      </c>
      <c r="U21" s="16">
        <f>(S21+T21)*'الافتراضات'!$B$5</f>
        <v/>
      </c>
      <c r="V21" s="16">
        <f>S21+T21+U21</f>
        <v/>
      </c>
      <c r="W21" s="16">
        <f>MAX(1,E21*P21)</f>
        <v/>
      </c>
      <c r="X21" s="16">
        <f>E21*'الافتراضات'!$B$7</f>
        <v/>
      </c>
      <c r="Y21" s="16">
        <f>E21*'الافتراضات'!$B$8</f>
        <v/>
      </c>
      <c r="Z21" s="16">
        <f>E21/(1+'الافتراضات'!$B$6)</f>
        <v/>
      </c>
      <c r="AA21" s="16">
        <f>Z21-V21-W21-Q21-X21-Y21</f>
        <v/>
      </c>
      <c r="AB21" s="17">
        <f>IF(Z21=0,0,AA21/Z21)</f>
        <v/>
      </c>
      <c r="AC21" s="17">
        <f>IF(V21=0,0,AA21/V21)</f>
        <v/>
      </c>
      <c r="AD21" s="18">
        <f>R21*V21</f>
        <v/>
      </c>
      <c r="AE21" s="16">
        <f>IF(AB21&gt;='الافتراضات'!$B$9,IF(O21="لا","ابدأ به","جيد – يحتاج شهادة"),IF(AB21&gt;='الافتراضات'!$B$10,"مقبول","ضعيف"))</f>
        <v/>
      </c>
      <c r="AF21" s="16">
        <f>IF((1-'الافتراضات'!$B$9)/(1+'الافتراضات'!$B$6)-P21-'الافتراضات'!$B$7-'الافتراضات'!$B$8&lt;=0,0,(V21+Q21)/((1-'الافتراضات'!$B$9)/(1+'الافتراضات'!$B$6)-P21-'الافتراضات'!$B$7-'الافتراضات'!$B$8))</f>
        <v/>
      </c>
    </row>
    <row r="22">
      <c r="A22" s="10" t="n">
        <v>21</v>
      </c>
      <c r="B22" s="11" t="inlineStr">
        <is>
          <t>التنظيف والغسيل</t>
        </is>
      </c>
      <c r="C22" s="11" t="inlineStr">
        <is>
          <t>مصيدة حشرات لاصقة</t>
        </is>
      </c>
      <c r="D22" s="11" t="inlineStr">
        <is>
          <t>fly trap sticky</t>
        </is>
      </c>
      <c r="E22" s="12" t="n">
        <v>25</v>
      </c>
      <c r="F22" s="10" t="inlineStr">
        <is>
          <t>تقدير</t>
        </is>
      </c>
      <c r="G22" s="10" t="inlineStr">
        <is>
          <t>تقدير</t>
        </is>
      </c>
      <c r="H22" s="10" t="inlineStr">
        <is>
          <t>لم تُفحص</t>
        </is>
      </c>
      <c r="I22" s="10" t="inlineStr">
        <is>
          <t>لم يُفحص</t>
        </is>
      </c>
      <c r="J22" s="13" t="n">
        <v>1</v>
      </c>
      <c r="K22" s="11" t="inlineStr">
        <is>
          <t>تقدير</t>
        </is>
      </c>
      <c r="L22" s="14" t="n">
        <v>0.1</v>
      </c>
      <c r="M22" s="10" t="inlineStr">
        <is>
          <t>صغير</t>
        </is>
      </c>
      <c r="N22" s="11" t="inlineStr">
        <is>
          <t>طوال السنة</t>
        </is>
      </c>
      <c r="O22" s="11" t="inlineStr">
        <is>
          <t>لا</t>
        </is>
      </c>
      <c r="P22" s="15" t="n">
        <v>0.09</v>
      </c>
      <c r="Q22" s="14" t="n">
        <v>6</v>
      </c>
      <c r="R22" s="14" t="n">
        <v>50</v>
      </c>
      <c r="S22" s="16">
        <f>J22*'الافتراضات'!$B$2*(1+'الافتراضات'!$B$3)</f>
        <v/>
      </c>
      <c r="T22" s="16">
        <f>L22*'الافتراضات'!$B$4</f>
        <v/>
      </c>
      <c r="U22" s="16">
        <f>(S22+T22)*'الافتراضات'!$B$5</f>
        <v/>
      </c>
      <c r="V22" s="16">
        <f>S22+T22+U22</f>
        <v/>
      </c>
      <c r="W22" s="16">
        <f>MAX(1,E22*P22)</f>
        <v/>
      </c>
      <c r="X22" s="16">
        <f>E22*'الافتراضات'!$B$7</f>
        <v/>
      </c>
      <c r="Y22" s="16">
        <f>E22*'الافتراضات'!$B$8</f>
        <v/>
      </c>
      <c r="Z22" s="16">
        <f>E22/(1+'الافتراضات'!$B$6)</f>
        <v/>
      </c>
      <c r="AA22" s="16">
        <f>Z22-V22-W22-Q22-X22-Y22</f>
        <v/>
      </c>
      <c r="AB22" s="17">
        <f>IF(Z22=0,0,AA22/Z22)</f>
        <v/>
      </c>
      <c r="AC22" s="17">
        <f>IF(V22=0,0,AA22/V22)</f>
        <v/>
      </c>
      <c r="AD22" s="18">
        <f>R22*V22</f>
        <v/>
      </c>
      <c r="AE22" s="16">
        <f>IF(AB22&gt;='الافتراضات'!$B$9,IF(O22="لا","ابدأ به","جيد – يحتاج شهادة"),IF(AB22&gt;='الافتراضات'!$B$10,"مقبول","ضعيف"))</f>
        <v/>
      </c>
      <c r="AF22" s="16">
        <f>IF((1-'الافتراضات'!$B$9)/(1+'الافتراضات'!$B$6)-P22-'الافتراضات'!$B$7-'الافتراضات'!$B$8&lt;=0,0,(V22+Q22)/((1-'الافتراضات'!$B$9)/(1+'الافتراضات'!$B$6)-P22-'الافتراضات'!$B$7-'الافتراضات'!$B$8))</f>
        <v/>
      </c>
    </row>
    <row r="23">
      <c r="A23" s="10" t="n">
        <v>22</v>
      </c>
      <c r="B23" s="11" t="inlineStr">
        <is>
          <t>السيارات والدراجات</t>
        </is>
      </c>
      <c r="C23" s="11" t="inlineStr">
        <is>
          <t>منفاخ إطارات لاسلكي</t>
        </is>
      </c>
      <c r="D23" s="11" t="inlineStr">
        <is>
          <t>portable tire inflator cordless</t>
        </is>
      </c>
      <c r="E23" s="12" t="n">
        <v>158</v>
      </c>
      <c r="F23" s="10" t="inlineStr">
        <is>
          <t>تقدير</t>
        </is>
      </c>
      <c r="G23" s="10" t="inlineStr">
        <is>
          <t>تقدير</t>
        </is>
      </c>
      <c r="H23" s="10" t="inlineStr">
        <is>
          <t>لم تُفحص</t>
        </is>
      </c>
      <c r="I23" s="10" t="inlineStr">
        <is>
          <t>لم يُفحص</t>
        </is>
      </c>
      <c r="J23" s="13" t="n">
        <v>14</v>
      </c>
      <c r="K23" s="11" t="inlineStr">
        <is>
          <t>تقدير</t>
        </is>
      </c>
      <c r="L23" s="14" t="n">
        <v>0.8</v>
      </c>
      <c r="M23" s="10" t="inlineStr">
        <is>
          <t>متوسط</t>
        </is>
      </c>
      <c r="N23" s="11" t="inlineStr">
        <is>
          <t>طوال السنة</t>
        </is>
      </c>
      <c r="O23" s="11" t="inlineStr">
        <is>
          <t>SABER + بطارية ليثيوم</t>
        </is>
      </c>
      <c r="P23" s="15" t="n">
        <v>0.06</v>
      </c>
      <c r="Q23" s="14" t="n">
        <v>10</v>
      </c>
      <c r="R23" s="14" t="n">
        <v>50</v>
      </c>
      <c r="S23" s="16">
        <f>J23*'الافتراضات'!$B$2*(1+'الافتراضات'!$B$3)</f>
        <v/>
      </c>
      <c r="T23" s="16">
        <f>L23*'الافتراضات'!$B$4</f>
        <v/>
      </c>
      <c r="U23" s="16">
        <f>(S23+T23)*'الافتراضات'!$B$5</f>
        <v/>
      </c>
      <c r="V23" s="16">
        <f>S23+T23+U23</f>
        <v/>
      </c>
      <c r="W23" s="16">
        <f>MAX(1,E23*P23)</f>
        <v/>
      </c>
      <c r="X23" s="16">
        <f>E23*'الافتراضات'!$B$7</f>
        <v/>
      </c>
      <c r="Y23" s="16">
        <f>E23*'الافتراضات'!$B$8</f>
        <v/>
      </c>
      <c r="Z23" s="16">
        <f>E23/(1+'الافتراضات'!$B$6)</f>
        <v/>
      </c>
      <c r="AA23" s="16">
        <f>Z23-V23-W23-Q23-X23-Y23</f>
        <v/>
      </c>
      <c r="AB23" s="17">
        <f>IF(Z23=0,0,AA23/Z23)</f>
        <v/>
      </c>
      <c r="AC23" s="17">
        <f>IF(V23=0,0,AA23/V23)</f>
        <v/>
      </c>
      <c r="AD23" s="18">
        <f>R23*V23</f>
        <v/>
      </c>
      <c r="AE23" s="16">
        <f>IF(AB23&gt;='الافتراضات'!$B$9,IF(O23="لا","ابدأ به","جيد – يحتاج شهادة"),IF(AB23&gt;='الافتراضات'!$B$10,"مقبول","ضعيف"))</f>
        <v/>
      </c>
      <c r="AF23" s="16">
        <f>IF((1-'الافتراضات'!$B$9)/(1+'الافتراضات'!$B$6)-P23-'الافتراضات'!$B$7-'الافتراضات'!$B$8&lt;=0,0,(V23+Q23)/((1-'الافتراضات'!$B$9)/(1+'الافتراضات'!$B$6)-P23-'الافتراضات'!$B$7-'الافتراضات'!$B$8))</f>
        <v/>
      </c>
    </row>
    <row r="24">
      <c r="A24" s="10" t="n">
        <v>23</v>
      </c>
      <c r="B24" s="11" t="inlineStr">
        <is>
          <t>المنزل والمطبخ</t>
        </is>
      </c>
      <c r="C24" s="11" t="inlineStr">
        <is>
          <t>مؤقت مطبخ رقمي</t>
        </is>
      </c>
      <c r="D24" s="11" t="inlineStr">
        <is>
          <t>digital kitchen timer</t>
        </is>
      </c>
      <c r="E24" s="12" t="n">
        <v>25</v>
      </c>
      <c r="F24" s="10" t="inlineStr">
        <is>
          <t>تقدير</t>
        </is>
      </c>
      <c r="G24" s="10" t="inlineStr">
        <is>
          <t>تقدير</t>
        </is>
      </c>
      <c r="H24" s="10" t="inlineStr">
        <is>
          <t>لم تُفحص</t>
        </is>
      </c>
      <c r="I24" s="10" t="inlineStr">
        <is>
          <t>لم يُفحص</t>
        </is>
      </c>
      <c r="J24" s="13" t="n">
        <v>0.8</v>
      </c>
      <c r="K24" s="11" t="inlineStr">
        <is>
          <t>تقدير</t>
        </is>
      </c>
      <c r="L24" s="14" t="n">
        <v>0.08</v>
      </c>
      <c r="M24" s="10" t="inlineStr">
        <is>
          <t>صغير</t>
        </is>
      </c>
      <c r="N24" s="11" t="inlineStr">
        <is>
          <t>طوال السنة</t>
        </is>
      </c>
      <c r="O24" s="11" t="inlineStr">
        <is>
          <t>SABER + بطارية ليثيوم</t>
        </is>
      </c>
      <c r="P24" s="15" t="n">
        <v>0.14</v>
      </c>
      <c r="Q24" s="14" t="n">
        <v>6</v>
      </c>
      <c r="R24" s="14" t="n">
        <v>50</v>
      </c>
      <c r="S24" s="16">
        <f>J24*'الافتراضات'!$B$2*(1+'الافتراضات'!$B$3)</f>
        <v/>
      </c>
      <c r="T24" s="16">
        <f>L24*'الافتراضات'!$B$4</f>
        <v/>
      </c>
      <c r="U24" s="16">
        <f>(S24+T24)*'الافتراضات'!$B$5</f>
        <v/>
      </c>
      <c r="V24" s="16">
        <f>S24+T24+U24</f>
        <v/>
      </c>
      <c r="W24" s="16">
        <f>MAX(1,E24*P24)</f>
        <v/>
      </c>
      <c r="X24" s="16">
        <f>E24*'الافتراضات'!$B$7</f>
        <v/>
      </c>
      <c r="Y24" s="16">
        <f>E24*'الافتراضات'!$B$8</f>
        <v/>
      </c>
      <c r="Z24" s="16">
        <f>E24/(1+'الافتراضات'!$B$6)</f>
        <v/>
      </c>
      <c r="AA24" s="16">
        <f>Z24-V24-W24-Q24-X24-Y24</f>
        <v/>
      </c>
      <c r="AB24" s="17">
        <f>IF(Z24=0,0,AA24/Z24)</f>
        <v/>
      </c>
      <c r="AC24" s="17">
        <f>IF(V24=0,0,AA24/V24)</f>
        <v/>
      </c>
      <c r="AD24" s="18">
        <f>R24*V24</f>
        <v/>
      </c>
      <c r="AE24" s="16">
        <f>IF(AB24&gt;='الافتراضات'!$B$9,IF(O24="لا","ابدأ به","جيد – يحتاج شهادة"),IF(AB24&gt;='الافتراضات'!$B$10,"مقبول","ضعيف"))</f>
        <v/>
      </c>
      <c r="AF24" s="16">
        <f>IF((1-'الافتراضات'!$B$9)/(1+'الافتراضات'!$B$6)-P24-'الافتراضات'!$B$7-'الافتراضات'!$B$8&lt;=0,0,(V24+Q24)/((1-'الافتراضات'!$B$9)/(1+'الافتراضات'!$B$6)-P24-'الافتراضات'!$B$7-'الافتراضات'!$B$8))</f>
        <v/>
      </c>
    </row>
    <row r="25">
      <c r="A25" s="10" t="n">
        <v>24</v>
      </c>
      <c r="B25" s="11" t="inlineStr">
        <is>
          <t>رمضان والمناسبات</t>
        </is>
      </c>
      <c r="C25" s="11" t="inlineStr">
        <is>
          <t>شموع كعكة</t>
        </is>
      </c>
      <c r="D25" s="11" t="inlineStr">
        <is>
          <t>birthday candles set</t>
        </is>
      </c>
      <c r="E25" s="12" t="n">
        <v>25</v>
      </c>
      <c r="F25" s="10" t="inlineStr">
        <is>
          <t>تقدير</t>
        </is>
      </c>
      <c r="G25" s="10" t="inlineStr">
        <is>
          <t>تقدير</t>
        </is>
      </c>
      <c r="H25" s="10" t="inlineStr">
        <is>
          <t>لم تُفحص</t>
        </is>
      </c>
      <c r="I25" s="10" t="inlineStr">
        <is>
          <t>لم يُفحص</t>
        </is>
      </c>
      <c r="J25" s="13" t="n">
        <v>0.8</v>
      </c>
      <c r="K25" s="11" t="inlineStr">
        <is>
          <t>تقدير</t>
        </is>
      </c>
      <c r="L25" s="14" t="n">
        <v>0.08</v>
      </c>
      <c r="M25" s="10" t="inlineStr">
        <is>
          <t>صغير</t>
        </is>
      </c>
      <c r="N25" s="11" t="inlineStr">
        <is>
          <t>طوال السنة</t>
        </is>
      </c>
      <c r="O25" s="11" t="inlineStr">
        <is>
          <t>لا</t>
        </is>
      </c>
      <c r="P25" s="15" t="n">
        <v>0.14</v>
      </c>
      <c r="Q25" s="14" t="n">
        <v>6</v>
      </c>
      <c r="R25" s="14" t="n">
        <v>50</v>
      </c>
      <c r="S25" s="16">
        <f>J25*'الافتراضات'!$B$2*(1+'الافتراضات'!$B$3)</f>
        <v/>
      </c>
      <c r="T25" s="16">
        <f>L25*'الافتراضات'!$B$4</f>
        <v/>
      </c>
      <c r="U25" s="16">
        <f>(S25+T25)*'الافتراضات'!$B$5</f>
        <v/>
      </c>
      <c r="V25" s="16">
        <f>S25+T25+U25</f>
        <v/>
      </c>
      <c r="W25" s="16">
        <f>MAX(1,E25*P25)</f>
        <v/>
      </c>
      <c r="X25" s="16">
        <f>E25*'الافتراضات'!$B$7</f>
        <v/>
      </c>
      <c r="Y25" s="16">
        <f>E25*'الافتراضات'!$B$8</f>
        <v/>
      </c>
      <c r="Z25" s="16">
        <f>E25/(1+'الافتراضات'!$B$6)</f>
        <v/>
      </c>
      <c r="AA25" s="16">
        <f>Z25-V25-W25-Q25-X25-Y25</f>
        <v/>
      </c>
      <c r="AB25" s="17">
        <f>IF(Z25=0,0,AA25/Z25)</f>
        <v/>
      </c>
      <c r="AC25" s="17">
        <f>IF(V25=0,0,AA25/V25)</f>
        <v/>
      </c>
      <c r="AD25" s="18">
        <f>R25*V25</f>
        <v/>
      </c>
      <c r="AE25" s="16">
        <f>IF(AB25&gt;='الافتراضات'!$B$9,IF(O25="لا","ابدأ به","جيد – يحتاج شهادة"),IF(AB25&gt;='الافتراضات'!$B$10,"مقبول","ضعيف"))</f>
        <v/>
      </c>
      <c r="AF25" s="16">
        <f>IF((1-'الافتراضات'!$B$9)/(1+'الافتراضات'!$B$6)-P25-'الافتراضات'!$B$7-'الافتراضات'!$B$8&lt;=0,0,(V25+Q25)/((1-'الافتراضات'!$B$9)/(1+'الافتراضات'!$B$6)-P25-'الافتراضات'!$B$7-'الافتراضات'!$B$8))</f>
        <v/>
      </c>
    </row>
    <row r="26">
      <c r="A26" s="10" t="n">
        <v>25</v>
      </c>
      <c r="B26" s="11" t="inlineStr">
        <is>
          <t>السيارات والدراجات</t>
        </is>
      </c>
      <c r="C26" s="11" t="inlineStr">
        <is>
          <t>ملصق عاكس للسيارة</t>
        </is>
      </c>
      <c r="D26" s="11" t="inlineStr">
        <is>
          <t>car reflective stickers</t>
        </is>
      </c>
      <c r="E26" s="12" t="n">
        <v>25</v>
      </c>
      <c r="F26" s="10" t="inlineStr">
        <is>
          <t>تقدير</t>
        </is>
      </c>
      <c r="G26" s="10" t="inlineStr">
        <is>
          <t>تقدير</t>
        </is>
      </c>
      <c r="H26" s="10" t="inlineStr">
        <is>
          <t>لم تُفحص</t>
        </is>
      </c>
      <c r="I26" s="10" t="inlineStr">
        <is>
          <t>لم يُفحص</t>
        </is>
      </c>
      <c r="J26" s="13" t="n">
        <v>1</v>
      </c>
      <c r="K26" s="11" t="inlineStr">
        <is>
          <t>تقدير</t>
        </is>
      </c>
      <c r="L26" s="14" t="n">
        <v>0.1</v>
      </c>
      <c r="M26" s="10" t="inlineStr">
        <is>
          <t>صغير</t>
        </is>
      </c>
      <c r="N26" s="11" t="inlineStr">
        <is>
          <t>طوال السنة</t>
        </is>
      </c>
      <c r="O26" s="11" t="inlineStr">
        <is>
          <t>لا</t>
        </is>
      </c>
      <c r="P26" s="15" t="n">
        <v>0.1</v>
      </c>
      <c r="Q26" s="14" t="n">
        <v>6</v>
      </c>
      <c r="R26" s="14" t="n">
        <v>50</v>
      </c>
      <c r="S26" s="16">
        <f>J26*'الافتراضات'!$B$2*(1+'الافتراضات'!$B$3)</f>
        <v/>
      </c>
      <c r="T26" s="16">
        <f>L26*'الافتراضات'!$B$4</f>
        <v/>
      </c>
      <c r="U26" s="16">
        <f>(S26+T26)*'الافتراضات'!$B$5</f>
        <v/>
      </c>
      <c r="V26" s="16">
        <f>S26+T26+U26</f>
        <v/>
      </c>
      <c r="W26" s="16">
        <f>MAX(1,E26*P26)</f>
        <v/>
      </c>
      <c r="X26" s="16">
        <f>E26*'الافتراضات'!$B$7</f>
        <v/>
      </c>
      <c r="Y26" s="16">
        <f>E26*'الافتراضات'!$B$8</f>
        <v/>
      </c>
      <c r="Z26" s="16">
        <f>E26/(1+'الافتراضات'!$B$6)</f>
        <v/>
      </c>
      <c r="AA26" s="16">
        <f>Z26-V26-W26-Q26-X26-Y26</f>
        <v/>
      </c>
      <c r="AB26" s="17">
        <f>IF(Z26=0,0,AA26/Z26)</f>
        <v/>
      </c>
      <c r="AC26" s="17">
        <f>IF(V26=0,0,AA26/V26)</f>
        <v/>
      </c>
      <c r="AD26" s="18">
        <f>R26*V26</f>
        <v/>
      </c>
      <c r="AE26" s="16">
        <f>IF(AB26&gt;='الافتراضات'!$B$9,IF(O26="لا","ابدأ به","جيد – يحتاج شهادة"),IF(AB26&gt;='الافتراضات'!$B$10,"مقبول","ضعيف"))</f>
        <v/>
      </c>
      <c r="AF26" s="16">
        <f>IF((1-'الافتراضات'!$B$9)/(1+'الافتراضات'!$B$6)-P26-'الافتراضات'!$B$7-'الافتراضات'!$B$8&lt;=0,0,(V26+Q26)/((1-'الافتراضات'!$B$9)/(1+'الافتراضات'!$B$6)-P26-'الافتراضات'!$B$7-'الافتراضات'!$B$8))</f>
        <v/>
      </c>
    </row>
    <row r="27">
      <c r="A27" s="10" t="n">
        <v>26</v>
      </c>
      <c r="B27" s="11" t="inlineStr">
        <is>
          <t>إكسسوارات الجوال والإلكترونيات</t>
        </is>
      </c>
      <c r="C27" s="11" t="inlineStr">
        <is>
          <t>جهاز عرض صغير بروجكتر</t>
        </is>
      </c>
      <c r="D27" s="11" t="inlineStr">
        <is>
          <t>mini projector portable</t>
        </is>
      </c>
      <c r="E27" s="12" t="n">
        <v>317</v>
      </c>
      <c r="F27" s="10" t="inlineStr">
        <is>
          <t>تقدير</t>
        </is>
      </c>
      <c r="G27" s="10" t="inlineStr">
        <is>
          <t>تقدير</t>
        </is>
      </c>
      <c r="H27" s="10" t="inlineStr">
        <is>
          <t>لم تُفحص</t>
        </is>
      </c>
      <c r="I27" s="10" t="inlineStr">
        <is>
          <t>لم يُفحص</t>
        </is>
      </c>
      <c r="J27" s="13" t="n">
        <v>28</v>
      </c>
      <c r="K27" s="11" t="inlineStr">
        <is>
          <t>تقدير</t>
        </is>
      </c>
      <c r="L27" s="14" t="n">
        <v>1.4</v>
      </c>
      <c r="M27" s="10" t="inlineStr">
        <is>
          <t>متوسط</t>
        </is>
      </c>
      <c r="N27" s="11" t="inlineStr">
        <is>
          <t>طوال السنة</t>
        </is>
      </c>
      <c r="O27" s="11" t="inlineStr">
        <is>
          <t>SABER</t>
        </is>
      </c>
      <c r="P27" s="15" t="n">
        <v>0.1</v>
      </c>
      <c r="Q27" s="14" t="n">
        <v>11.5</v>
      </c>
      <c r="R27" s="14" t="n">
        <v>50</v>
      </c>
      <c r="S27" s="16">
        <f>J27*'الافتراضات'!$B$2*(1+'الافتراضات'!$B$3)</f>
        <v/>
      </c>
      <c r="T27" s="16">
        <f>L27*'الافتراضات'!$B$4</f>
        <v/>
      </c>
      <c r="U27" s="16">
        <f>(S27+T27)*'الافتراضات'!$B$5</f>
        <v/>
      </c>
      <c r="V27" s="16">
        <f>S27+T27+U27</f>
        <v/>
      </c>
      <c r="W27" s="16">
        <f>MAX(1,E27*P27)</f>
        <v/>
      </c>
      <c r="X27" s="16">
        <f>E27*'الافتراضات'!$B$7</f>
        <v/>
      </c>
      <c r="Y27" s="16">
        <f>E27*'الافتراضات'!$B$8</f>
        <v/>
      </c>
      <c r="Z27" s="16">
        <f>E27/(1+'الافتراضات'!$B$6)</f>
        <v/>
      </c>
      <c r="AA27" s="16">
        <f>Z27-V27-W27-Q27-X27-Y27</f>
        <v/>
      </c>
      <c r="AB27" s="17">
        <f>IF(Z27=0,0,AA27/Z27)</f>
        <v/>
      </c>
      <c r="AC27" s="17">
        <f>IF(V27=0,0,AA27/V27)</f>
        <v/>
      </c>
      <c r="AD27" s="18">
        <f>R27*V27</f>
        <v/>
      </c>
      <c r="AE27" s="16">
        <f>IF(AB27&gt;='الافتراضات'!$B$9,IF(O27="لا","ابدأ به","جيد – يحتاج شهادة"),IF(AB27&gt;='الافتراضات'!$B$10,"مقبول","ضعيف"))</f>
        <v/>
      </c>
      <c r="AF27" s="16">
        <f>IF((1-'الافتراضات'!$B$9)/(1+'الافتراضات'!$B$6)-P27-'الافتراضات'!$B$7-'الافتراضات'!$B$8&lt;=0,0,(V27+Q27)/((1-'الافتراضات'!$B$9)/(1+'الافتراضات'!$B$6)-P27-'الافتراضات'!$B$7-'الافتراضات'!$B$8))</f>
        <v/>
      </c>
    </row>
    <row r="28">
      <c r="A28" s="10" t="n">
        <v>27</v>
      </c>
      <c r="B28" s="11" t="inlineStr">
        <is>
          <t>الأدوات والصيانة</t>
        </is>
      </c>
      <c r="C28" s="11" t="inlineStr">
        <is>
          <t>نظارات حماية</t>
        </is>
      </c>
      <c r="D28" s="11" t="inlineStr">
        <is>
          <t>safety glasses</t>
        </is>
      </c>
      <c r="E28" s="12" t="n">
        <v>25</v>
      </c>
      <c r="F28" s="10" t="inlineStr">
        <is>
          <t>تقدير</t>
        </is>
      </c>
      <c r="G28" s="10" t="inlineStr">
        <is>
          <t>تقدير</t>
        </is>
      </c>
      <c r="H28" s="10" t="inlineStr">
        <is>
          <t>لم تُفحص</t>
        </is>
      </c>
      <c r="I28" s="10" t="inlineStr">
        <is>
          <t>لم يُفحص</t>
        </is>
      </c>
      <c r="J28" s="13" t="n">
        <v>0.9</v>
      </c>
      <c r="K28" s="11" t="inlineStr">
        <is>
          <t>تقدير</t>
        </is>
      </c>
      <c r="L28" s="14" t="n">
        <v>0.05</v>
      </c>
      <c r="M28" s="10" t="inlineStr">
        <is>
          <t>صغير</t>
        </is>
      </c>
      <c r="N28" s="11" t="inlineStr">
        <is>
          <t>طوال السنة</t>
        </is>
      </c>
      <c r="O28" s="11" t="inlineStr">
        <is>
          <t>لا</t>
        </is>
      </c>
      <c r="P28" s="15" t="n">
        <v>0.14</v>
      </c>
      <c r="Q28" s="14" t="n">
        <v>6</v>
      </c>
      <c r="R28" s="14" t="n">
        <v>50</v>
      </c>
      <c r="S28" s="16">
        <f>J28*'الافتراضات'!$B$2*(1+'الافتراضات'!$B$3)</f>
        <v/>
      </c>
      <c r="T28" s="16">
        <f>L28*'الافتراضات'!$B$4</f>
        <v/>
      </c>
      <c r="U28" s="16">
        <f>(S28+T28)*'الافتراضات'!$B$5</f>
        <v/>
      </c>
      <c r="V28" s="16">
        <f>S28+T28+U28</f>
        <v/>
      </c>
      <c r="W28" s="16">
        <f>MAX(1,E28*P28)</f>
        <v/>
      </c>
      <c r="X28" s="16">
        <f>E28*'الافتراضات'!$B$7</f>
        <v/>
      </c>
      <c r="Y28" s="16">
        <f>E28*'الافتراضات'!$B$8</f>
        <v/>
      </c>
      <c r="Z28" s="16">
        <f>E28/(1+'الافتراضات'!$B$6)</f>
        <v/>
      </c>
      <c r="AA28" s="16">
        <f>Z28-V28-W28-Q28-X28-Y28</f>
        <v/>
      </c>
      <c r="AB28" s="17">
        <f>IF(Z28=0,0,AA28/Z28)</f>
        <v/>
      </c>
      <c r="AC28" s="17">
        <f>IF(V28=0,0,AA28/V28)</f>
        <v/>
      </c>
      <c r="AD28" s="18">
        <f>R28*V28</f>
        <v/>
      </c>
      <c r="AE28" s="16">
        <f>IF(AB28&gt;='الافتراضات'!$B$9,IF(O28="لا","ابدأ به","جيد – يحتاج شهادة"),IF(AB28&gt;='الافتراضات'!$B$10,"مقبول","ضعيف"))</f>
        <v/>
      </c>
      <c r="AF28" s="16">
        <f>IF((1-'الافتراضات'!$B$9)/(1+'الافتراضات'!$B$6)-P28-'الافتراضات'!$B$7-'الافتراضات'!$B$8&lt;=0,0,(V28+Q28)/((1-'الافتراضات'!$B$9)/(1+'الافتراضات'!$B$6)-P28-'الافتراضات'!$B$7-'الافتراضات'!$B$8))</f>
        <v/>
      </c>
    </row>
    <row r="29">
      <c r="A29" s="10" t="n">
        <v>28</v>
      </c>
      <c r="B29" s="11" t="inlineStr">
        <is>
          <t>التنظيف والغسيل</t>
        </is>
      </c>
      <c r="C29" s="11" t="inlineStr">
        <is>
          <t>مكنسة روبوت</t>
        </is>
      </c>
      <c r="D29" s="11" t="inlineStr">
        <is>
          <t>robot vacuum cleaner</t>
        </is>
      </c>
      <c r="E29" s="12" t="n">
        <v>622</v>
      </c>
      <c r="F29" s="10" t="inlineStr">
        <is>
          <t>تقدير</t>
        </is>
      </c>
      <c r="G29" s="10" t="inlineStr">
        <is>
          <t>تقدير</t>
        </is>
      </c>
      <c r="H29" s="10" t="inlineStr">
        <is>
          <t>لم تُفحص</t>
        </is>
      </c>
      <c r="I29" s="10" t="inlineStr">
        <is>
          <t>لم يُفحص</t>
        </is>
      </c>
      <c r="J29" s="13" t="n">
        <v>55</v>
      </c>
      <c r="K29" s="11" t="inlineStr">
        <is>
          <t>تقدير</t>
        </is>
      </c>
      <c r="L29" s="14" t="n">
        <v>3.5</v>
      </c>
      <c r="M29" s="10" t="inlineStr">
        <is>
          <t>كبير</t>
        </is>
      </c>
      <c r="N29" s="11" t="inlineStr">
        <is>
          <t>طوال السنة</t>
        </is>
      </c>
      <c r="O29" s="11" t="inlineStr">
        <is>
          <t>SABER + بطارية ليثيوم</t>
        </is>
      </c>
      <c r="P29" s="15" t="n">
        <v>0.1</v>
      </c>
      <c r="Q29" s="14" t="n">
        <v>17</v>
      </c>
      <c r="R29" s="14" t="n">
        <v>50</v>
      </c>
      <c r="S29" s="16">
        <f>J29*'الافتراضات'!$B$2*(1+'الافتراضات'!$B$3)</f>
        <v/>
      </c>
      <c r="T29" s="16">
        <f>L29*'الافتراضات'!$B$4</f>
        <v/>
      </c>
      <c r="U29" s="16">
        <f>(S29+T29)*'الافتراضات'!$B$5</f>
        <v/>
      </c>
      <c r="V29" s="16">
        <f>S29+T29+U29</f>
        <v/>
      </c>
      <c r="W29" s="16">
        <f>MAX(1,E29*P29)</f>
        <v/>
      </c>
      <c r="X29" s="16">
        <f>E29*'الافتراضات'!$B$7</f>
        <v/>
      </c>
      <c r="Y29" s="16">
        <f>E29*'الافتراضات'!$B$8</f>
        <v/>
      </c>
      <c r="Z29" s="16">
        <f>E29/(1+'الافتراضات'!$B$6)</f>
        <v/>
      </c>
      <c r="AA29" s="16">
        <f>Z29-V29-W29-Q29-X29-Y29</f>
        <v/>
      </c>
      <c r="AB29" s="17">
        <f>IF(Z29=0,0,AA29/Z29)</f>
        <v/>
      </c>
      <c r="AC29" s="17">
        <f>IF(V29=0,0,AA29/V29)</f>
        <v/>
      </c>
      <c r="AD29" s="18">
        <f>R29*V29</f>
        <v/>
      </c>
      <c r="AE29" s="16">
        <f>IF(AB29&gt;='الافتراضات'!$B$9,IF(O29="لا","ابدأ به","جيد – يحتاج شهادة"),IF(AB29&gt;='الافتراضات'!$B$10,"مقبول","ضعيف"))</f>
        <v/>
      </c>
      <c r="AF29" s="16">
        <f>IF((1-'الافتراضات'!$B$9)/(1+'الافتراضات'!$B$6)-P29-'الافتراضات'!$B$7-'الافتراضات'!$B$8&lt;=0,0,(V29+Q29)/((1-'الافتراضات'!$B$9)/(1+'الافتراضات'!$B$6)-P29-'الافتراضات'!$B$7-'الافتراضات'!$B$8))</f>
        <v/>
      </c>
    </row>
    <row r="30">
      <c r="A30" s="10" t="n">
        <v>29</v>
      </c>
      <c r="B30" s="11" t="inlineStr">
        <is>
          <t>إكسسوارات الجوال والإلكترونيات</t>
        </is>
      </c>
      <c r="C30" s="11" t="inlineStr">
        <is>
          <t>مولد طاقة محمول 300 واط</t>
        </is>
      </c>
      <c r="D30" s="11" t="inlineStr">
        <is>
          <t>portable power station 300W</t>
        </is>
      </c>
      <c r="E30" s="12" t="n">
        <v>1245</v>
      </c>
      <c r="F30" s="10" t="inlineStr">
        <is>
          <t>تقدير</t>
        </is>
      </c>
      <c r="G30" s="10" t="inlineStr">
        <is>
          <t>تقدير</t>
        </is>
      </c>
      <c r="H30" s="10" t="inlineStr">
        <is>
          <t>لم تُفحص</t>
        </is>
      </c>
      <c r="I30" s="10" t="inlineStr">
        <is>
          <t>لم يُفحص</t>
        </is>
      </c>
      <c r="J30" s="13" t="n">
        <v>110</v>
      </c>
      <c r="K30" s="11" t="inlineStr">
        <is>
          <t>تقدير</t>
        </is>
      </c>
      <c r="L30" s="14" t="n">
        <v>3.5</v>
      </c>
      <c r="M30" s="10" t="inlineStr">
        <is>
          <t>كبير</t>
        </is>
      </c>
      <c r="N30" s="11" t="inlineStr">
        <is>
          <t>طوال السنة</t>
        </is>
      </c>
      <c r="O30" s="11" t="inlineStr">
        <is>
          <t>SABER + بطارية ليثيوم</t>
        </is>
      </c>
      <c r="P30" s="15" t="n">
        <v>0.14</v>
      </c>
      <c r="Q30" s="14" t="n">
        <v>17</v>
      </c>
      <c r="R30" s="14" t="n">
        <v>50</v>
      </c>
      <c r="S30" s="16">
        <f>J30*'الافتراضات'!$B$2*(1+'الافتراضات'!$B$3)</f>
        <v/>
      </c>
      <c r="T30" s="16">
        <f>L30*'الافتراضات'!$B$4</f>
        <v/>
      </c>
      <c r="U30" s="16">
        <f>(S30+T30)*'الافتراضات'!$B$5</f>
        <v/>
      </c>
      <c r="V30" s="16">
        <f>S30+T30+U30</f>
        <v/>
      </c>
      <c r="W30" s="16">
        <f>MAX(1,E30*P30)</f>
        <v/>
      </c>
      <c r="X30" s="16">
        <f>E30*'الافتراضات'!$B$7</f>
        <v/>
      </c>
      <c r="Y30" s="16">
        <f>E30*'الافتراضات'!$B$8</f>
        <v/>
      </c>
      <c r="Z30" s="16">
        <f>E30/(1+'الافتراضات'!$B$6)</f>
        <v/>
      </c>
      <c r="AA30" s="16">
        <f>Z30-V30-W30-Q30-X30-Y30</f>
        <v/>
      </c>
      <c r="AB30" s="17">
        <f>IF(Z30=0,0,AA30/Z30)</f>
        <v/>
      </c>
      <c r="AC30" s="17">
        <f>IF(V30=0,0,AA30/V30)</f>
        <v/>
      </c>
      <c r="AD30" s="18">
        <f>R30*V30</f>
        <v/>
      </c>
      <c r="AE30" s="16">
        <f>IF(AB30&gt;='الافتراضات'!$B$9,IF(O30="لا","ابدأ به","جيد – يحتاج شهادة"),IF(AB30&gt;='الافتراضات'!$B$10,"مقبول","ضعيف"))</f>
        <v/>
      </c>
      <c r="AF30" s="16">
        <f>IF((1-'الافتراضات'!$B$9)/(1+'الافتراضات'!$B$6)-P30-'الافتراضات'!$B$7-'الافتراضات'!$B$8&lt;=0,0,(V30+Q30)/((1-'الافتراضات'!$B$9)/(1+'الافتراضات'!$B$6)-P30-'الافتراضات'!$B$7-'الافتراضات'!$B$8))</f>
        <v/>
      </c>
    </row>
    <row r="31">
      <c r="A31" s="10" t="n">
        <v>30</v>
      </c>
      <c r="B31" s="11" t="inlineStr">
        <is>
          <t>السيارات والدراجات</t>
        </is>
      </c>
      <c r="C31" s="11" t="inlineStr">
        <is>
          <t>مرآة خلفية بشاشة</t>
        </is>
      </c>
      <c r="D31" s="11" t="inlineStr">
        <is>
          <t>rearview mirror camera display</t>
        </is>
      </c>
      <c r="E31" s="12" t="n">
        <v>204</v>
      </c>
      <c r="F31" s="10" t="inlineStr">
        <is>
          <t>تقدير</t>
        </is>
      </c>
      <c r="G31" s="10" t="inlineStr">
        <is>
          <t>تقدير</t>
        </is>
      </c>
      <c r="H31" s="10" t="inlineStr">
        <is>
          <t>لم تُفحص</t>
        </is>
      </c>
      <c r="I31" s="10" t="inlineStr">
        <is>
          <t>لم يُفحص</t>
        </is>
      </c>
      <c r="J31" s="13" t="n">
        <v>18</v>
      </c>
      <c r="K31" s="11" t="inlineStr">
        <is>
          <t>تقدير</t>
        </is>
      </c>
      <c r="L31" s="14" t="n">
        <v>0.7</v>
      </c>
      <c r="M31" s="10" t="inlineStr">
        <is>
          <t>متوسط</t>
        </is>
      </c>
      <c r="N31" s="11" t="inlineStr">
        <is>
          <t>طوال السنة</t>
        </is>
      </c>
      <c r="O31" s="11" t="inlineStr">
        <is>
          <t>SABER + بطارية ليثيوم</t>
        </is>
      </c>
      <c r="P31" s="15" t="n">
        <v>0.1</v>
      </c>
      <c r="Q31" s="14" t="n">
        <v>10</v>
      </c>
      <c r="R31" s="14" t="n">
        <v>50</v>
      </c>
      <c r="S31" s="16">
        <f>J31*'الافتراضات'!$B$2*(1+'الافتراضات'!$B$3)</f>
        <v/>
      </c>
      <c r="T31" s="16">
        <f>L31*'الافتراضات'!$B$4</f>
        <v/>
      </c>
      <c r="U31" s="16">
        <f>(S31+T31)*'الافتراضات'!$B$5</f>
        <v/>
      </c>
      <c r="V31" s="16">
        <f>S31+T31+U31</f>
        <v/>
      </c>
      <c r="W31" s="16">
        <f>MAX(1,E31*P31)</f>
        <v/>
      </c>
      <c r="X31" s="16">
        <f>E31*'الافتراضات'!$B$7</f>
        <v/>
      </c>
      <c r="Y31" s="16">
        <f>E31*'الافتراضات'!$B$8</f>
        <v/>
      </c>
      <c r="Z31" s="16">
        <f>E31/(1+'الافتراضات'!$B$6)</f>
        <v/>
      </c>
      <c r="AA31" s="16">
        <f>Z31-V31-W31-Q31-X31-Y31</f>
        <v/>
      </c>
      <c r="AB31" s="17">
        <f>IF(Z31=0,0,AA31/Z31)</f>
        <v/>
      </c>
      <c r="AC31" s="17">
        <f>IF(V31=0,0,AA31/V31)</f>
        <v/>
      </c>
      <c r="AD31" s="18">
        <f>R31*V31</f>
        <v/>
      </c>
      <c r="AE31" s="16">
        <f>IF(AB31&gt;='الافتراضات'!$B$9,IF(O31="لا","ابدأ به","جيد – يحتاج شهادة"),IF(AB31&gt;='الافتراضات'!$B$10,"مقبول","ضعيف"))</f>
        <v/>
      </c>
      <c r="AF31" s="16">
        <f>IF((1-'الافتراضات'!$B$9)/(1+'الافتراضات'!$B$6)-P31-'الافتراضات'!$B$7-'الافتراضات'!$B$8&lt;=0,0,(V31+Q31)/((1-'الافتراضات'!$B$9)/(1+'الافتراضات'!$B$6)-P31-'الافتراضات'!$B$7-'الافتراضات'!$B$8))</f>
        <v/>
      </c>
    </row>
    <row r="32">
      <c r="A32" s="10" t="n">
        <v>31</v>
      </c>
      <c r="B32" s="11" t="inlineStr">
        <is>
          <t>إكسسوارات الجوال والإلكترونيات</t>
        </is>
      </c>
      <c r="C32" s="11" t="inlineStr">
        <is>
          <t>سوار ساعة سيليكون 20 ملم</t>
        </is>
      </c>
      <c r="D32" s="11" t="inlineStr">
        <is>
          <t>silicone watch strap 20mm</t>
        </is>
      </c>
      <c r="E32" s="12" t="n">
        <v>25</v>
      </c>
      <c r="F32" s="10" t="inlineStr">
        <is>
          <t>تقدير</t>
        </is>
      </c>
      <c r="G32" s="10" t="inlineStr">
        <is>
          <t>تقدير</t>
        </is>
      </c>
      <c r="H32" s="10" t="inlineStr">
        <is>
          <t>لم تُفحص</t>
        </is>
      </c>
      <c r="I32" s="10" t="inlineStr">
        <is>
          <t>لم يُفحص</t>
        </is>
      </c>
      <c r="J32" s="13" t="n">
        <v>0.9</v>
      </c>
      <c r="K32" s="11" t="inlineStr">
        <is>
          <t>تقدير</t>
        </is>
      </c>
      <c r="L32" s="14" t="n">
        <v>0.03</v>
      </c>
      <c r="M32" s="10" t="inlineStr">
        <is>
          <t>صغير</t>
        </is>
      </c>
      <c r="N32" s="11" t="inlineStr">
        <is>
          <t>طوال السنة</t>
        </is>
      </c>
      <c r="O32" s="11" t="inlineStr">
        <is>
          <t>لا</t>
        </is>
      </c>
      <c r="P32" s="15" t="n">
        <v>0.15</v>
      </c>
      <c r="Q32" s="14" t="n">
        <v>6</v>
      </c>
      <c r="R32" s="14" t="n">
        <v>50</v>
      </c>
      <c r="S32" s="16">
        <f>J32*'الافتراضات'!$B$2*(1+'الافتراضات'!$B$3)</f>
        <v/>
      </c>
      <c r="T32" s="16">
        <f>L32*'الافتراضات'!$B$4</f>
        <v/>
      </c>
      <c r="U32" s="16">
        <f>(S32+T32)*'الافتراضات'!$B$5</f>
        <v/>
      </c>
      <c r="V32" s="16">
        <f>S32+T32+U32</f>
        <v/>
      </c>
      <c r="W32" s="16">
        <f>MAX(1,E32*P32)</f>
        <v/>
      </c>
      <c r="X32" s="16">
        <f>E32*'الافتراضات'!$B$7</f>
        <v/>
      </c>
      <c r="Y32" s="16">
        <f>E32*'الافتراضات'!$B$8</f>
        <v/>
      </c>
      <c r="Z32" s="16">
        <f>E32/(1+'الافتراضات'!$B$6)</f>
        <v/>
      </c>
      <c r="AA32" s="16">
        <f>Z32-V32-W32-Q32-X32-Y32</f>
        <v/>
      </c>
      <c r="AB32" s="17">
        <f>IF(Z32=0,0,AA32/Z32)</f>
        <v/>
      </c>
      <c r="AC32" s="17">
        <f>IF(V32=0,0,AA32/V32)</f>
        <v/>
      </c>
      <c r="AD32" s="18">
        <f>R32*V32</f>
        <v/>
      </c>
      <c r="AE32" s="16">
        <f>IF(AB32&gt;='الافتراضات'!$B$9,IF(O32="لا","ابدأ به","جيد – يحتاج شهادة"),IF(AB32&gt;='الافتراضات'!$B$10,"مقبول","ضعيف"))</f>
        <v/>
      </c>
      <c r="AF32" s="16">
        <f>IF((1-'الافتراضات'!$B$9)/(1+'الافتراضات'!$B$6)-P32-'الافتراضات'!$B$7-'الافتراضات'!$B$8&lt;=0,0,(V32+Q32)/((1-'الافتراضات'!$B$9)/(1+'الافتراضات'!$B$6)-P32-'الافتراضات'!$B$7-'الافتراضات'!$B$8))</f>
        <v/>
      </c>
    </row>
    <row r="33">
      <c r="A33" s="10" t="n">
        <v>32</v>
      </c>
      <c r="B33" s="11" t="inlineStr">
        <is>
          <t>إكسسوارات الجوال والإلكترونيات</t>
        </is>
      </c>
      <c r="C33" s="11" t="inlineStr">
        <is>
          <t>درون صغير بكاميرا</t>
        </is>
      </c>
      <c r="D33" s="11" t="inlineStr">
        <is>
          <t>mini drone camera</t>
        </is>
      </c>
      <c r="E33" s="12" t="n">
        <v>204</v>
      </c>
      <c r="F33" s="10" t="inlineStr">
        <is>
          <t>تقدير</t>
        </is>
      </c>
      <c r="G33" s="10" t="inlineStr">
        <is>
          <t>تقدير</t>
        </is>
      </c>
      <c r="H33" s="10" t="inlineStr">
        <is>
          <t>لم تُفحص</t>
        </is>
      </c>
      <c r="I33" s="10" t="inlineStr">
        <is>
          <t>لم يُفحص</t>
        </is>
      </c>
      <c r="J33" s="13" t="n">
        <v>18</v>
      </c>
      <c r="K33" s="11" t="inlineStr">
        <is>
          <t>تقدير</t>
        </is>
      </c>
      <c r="L33" s="14" t="n">
        <v>0.8</v>
      </c>
      <c r="M33" s="10" t="inlineStr">
        <is>
          <t>متوسط</t>
        </is>
      </c>
      <c r="N33" s="11" t="inlineStr">
        <is>
          <t>طوال السنة</t>
        </is>
      </c>
      <c r="O33" s="11" t="inlineStr">
        <is>
          <t>SABER + بطارية ليثيوم</t>
        </is>
      </c>
      <c r="P33" s="15" t="n">
        <v>0.1</v>
      </c>
      <c r="Q33" s="14" t="n">
        <v>10</v>
      </c>
      <c r="R33" s="14" t="n">
        <v>50</v>
      </c>
      <c r="S33" s="16">
        <f>J33*'الافتراضات'!$B$2*(1+'الافتراضات'!$B$3)</f>
        <v/>
      </c>
      <c r="T33" s="16">
        <f>L33*'الافتراضات'!$B$4</f>
        <v/>
      </c>
      <c r="U33" s="16">
        <f>(S33+T33)*'الافتراضات'!$B$5</f>
        <v/>
      </c>
      <c r="V33" s="16">
        <f>S33+T33+U33</f>
        <v/>
      </c>
      <c r="W33" s="16">
        <f>MAX(1,E33*P33)</f>
        <v/>
      </c>
      <c r="X33" s="16">
        <f>E33*'الافتراضات'!$B$7</f>
        <v/>
      </c>
      <c r="Y33" s="16">
        <f>E33*'الافتراضات'!$B$8</f>
        <v/>
      </c>
      <c r="Z33" s="16">
        <f>E33/(1+'الافتراضات'!$B$6)</f>
        <v/>
      </c>
      <c r="AA33" s="16">
        <f>Z33-V33-W33-Q33-X33-Y33</f>
        <v/>
      </c>
      <c r="AB33" s="17">
        <f>IF(Z33=0,0,AA33/Z33)</f>
        <v/>
      </c>
      <c r="AC33" s="17">
        <f>IF(V33=0,0,AA33/V33)</f>
        <v/>
      </c>
      <c r="AD33" s="18">
        <f>R33*V33</f>
        <v/>
      </c>
      <c r="AE33" s="16">
        <f>IF(AB33&gt;='الافتراضات'!$B$9,IF(O33="لا","ابدأ به","جيد – يحتاج شهادة"),IF(AB33&gt;='الافتراضات'!$B$10,"مقبول","ضعيف"))</f>
        <v/>
      </c>
      <c r="AF33" s="16">
        <f>IF((1-'الافتراضات'!$B$9)/(1+'الافتراضات'!$B$6)-P33-'الافتراضات'!$B$7-'الافتراضات'!$B$8&lt;=0,0,(V33+Q33)/((1-'الافتراضات'!$B$9)/(1+'الافتراضات'!$B$6)-P33-'الافتراضات'!$B$7-'الافتراضات'!$B$8))</f>
        <v/>
      </c>
    </row>
    <row r="34">
      <c r="A34" s="10" t="n">
        <v>33</v>
      </c>
      <c r="B34" s="11" t="inlineStr">
        <is>
          <t>إكسسوارات الجوال والإلكترونيات</t>
        </is>
      </c>
      <c r="C34" s="11" t="inlineStr">
        <is>
          <t>طابعة حرارية صغيرة للملصقات</t>
        </is>
      </c>
      <c r="D34" s="11" t="inlineStr">
        <is>
          <t>thermal label printer bluetooth</t>
        </is>
      </c>
      <c r="E34" s="12" t="n">
        <v>317</v>
      </c>
      <c r="F34" s="10" t="inlineStr">
        <is>
          <t>تقدير</t>
        </is>
      </c>
      <c r="G34" s="10" t="inlineStr">
        <is>
          <t>تقدير</t>
        </is>
      </c>
      <c r="H34" s="10" t="inlineStr">
        <is>
          <t>لم تُفحص</t>
        </is>
      </c>
      <c r="I34" s="10" t="inlineStr">
        <is>
          <t>لم يُفحص</t>
        </is>
      </c>
      <c r="J34" s="13" t="n">
        <v>28</v>
      </c>
      <c r="K34" s="11" t="inlineStr">
        <is>
          <t>تقدير</t>
        </is>
      </c>
      <c r="L34" s="14" t="n">
        <v>0.9</v>
      </c>
      <c r="M34" s="10" t="inlineStr">
        <is>
          <t>متوسط</t>
        </is>
      </c>
      <c r="N34" s="11" t="inlineStr">
        <is>
          <t>طوال السنة</t>
        </is>
      </c>
      <c r="O34" s="11" t="inlineStr">
        <is>
          <t>SABER + بطارية ليثيوم</t>
        </is>
      </c>
      <c r="P34" s="15" t="n">
        <v>0.13</v>
      </c>
      <c r="Q34" s="14" t="n">
        <v>10</v>
      </c>
      <c r="R34" s="14" t="n">
        <v>50</v>
      </c>
      <c r="S34" s="16">
        <f>J34*'الافتراضات'!$B$2*(1+'الافتراضات'!$B$3)</f>
        <v/>
      </c>
      <c r="T34" s="16">
        <f>L34*'الافتراضات'!$B$4</f>
        <v/>
      </c>
      <c r="U34" s="16">
        <f>(S34+T34)*'الافتراضات'!$B$5</f>
        <v/>
      </c>
      <c r="V34" s="16">
        <f>S34+T34+U34</f>
        <v/>
      </c>
      <c r="W34" s="16">
        <f>MAX(1,E34*P34)</f>
        <v/>
      </c>
      <c r="X34" s="16">
        <f>E34*'الافتراضات'!$B$7</f>
        <v/>
      </c>
      <c r="Y34" s="16">
        <f>E34*'الافتراضات'!$B$8</f>
        <v/>
      </c>
      <c r="Z34" s="16">
        <f>E34/(1+'الافتراضات'!$B$6)</f>
        <v/>
      </c>
      <c r="AA34" s="16">
        <f>Z34-V34-W34-Q34-X34-Y34</f>
        <v/>
      </c>
      <c r="AB34" s="17">
        <f>IF(Z34=0,0,AA34/Z34)</f>
        <v/>
      </c>
      <c r="AC34" s="17">
        <f>IF(V34=0,0,AA34/V34)</f>
        <v/>
      </c>
      <c r="AD34" s="18">
        <f>R34*V34</f>
        <v/>
      </c>
      <c r="AE34" s="16">
        <f>IF(AB34&gt;='الافتراضات'!$B$9,IF(O34="لا","ابدأ به","جيد – يحتاج شهادة"),IF(AB34&gt;='الافتراضات'!$B$10,"مقبول","ضعيف"))</f>
        <v/>
      </c>
      <c r="AF34" s="16">
        <f>IF((1-'الافتراضات'!$B$9)/(1+'الافتراضات'!$B$6)-P34-'الافتراضات'!$B$7-'الافتراضات'!$B$8&lt;=0,0,(V34+Q34)/((1-'الافتراضات'!$B$9)/(1+'الافتراضات'!$B$6)-P34-'الافتراضات'!$B$7-'الافتراضات'!$B$8))</f>
        <v/>
      </c>
    </row>
    <row r="35">
      <c r="A35" s="10" t="n">
        <v>34</v>
      </c>
      <c r="B35" s="11" t="inlineStr">
        <is>
          <t>إكسسوارات الجوال والإلكترونيات</t>
        </is>
      </c>
      <c r="C35" s="11" t="inlineStr">
        <is>
          <t>مشغل وسائط تلفزيون ذكي</t>
        </is>
      </c>
      <c r="D35" s="11" t="inlineStr">
        <is>
          <t>android tv box 4K</t>
        </is>
      </c>
      <c r="E35" s="12" t="n">
        <v>158</v>
      </c>
      <c r="F35" s="10" t="inlineStr">
        <is>
          <t>تقدير</t>
        </is>
      </c>
      <c r="G35" s="10" t="inlineStr">
        <is>
          <t>تقدير</t>
        </is>
      </c>
      <c r="H35" s="10" t="inlineStr">
        <is>
          <t>لم تُفحص</t>
        </is>
      </c>
      <c r="I35" s="10" t="inlineStr">
        <is>
          <t>لم يُفحص</t>
        </is>
      </c>
      <c r="J35" s="13" t="n">
        <v>14</v>
      </c>
      <c r="K35" s="11" t="inlineStr">
        <is>
          <t>تقدير</t>
        </is>
      </c>
      <c r="L35" s="14" t="n">
        <v>0.5</v>
      </c>
      <c r="M35" s="10" t="inlineStr">
        <is>
          <t>متوسط</t>
        </is>
      </c>
      <c r="N35" s="11" t="inlineStr">
        <is>
          <t>طوال السنة</t>
        </is>
      </c>
      <c r="O35" s="11" t="inlineStr">
        <is>
          <t>SABER</t>
        </is>
      </c>
      <c r="P35" s="15" t="n">
        <v>0.1</v>
      </c>
      <c r="Q35" s="14" t="n">
        <v>9.5</v>
      </c>
      <c r="R35" s="14" t="n">
        <v>50</v>
      </c>
      <c r="S35" s="16">
        <f>J35*'الافتراضات'!$B$2*(1+'الافتراضات'!$B$3)</f>
        <v/>
      </c>
      <c r="T35" s="16">
        <f>L35*'الافتراضات'!$B$4</f>
        <v/>
      </c>
      <c r="U35" s="16">
        <f>(S35+T35)*'الافتراضات'!$B$5</f>
        <v/>
      </c>
      <c r="V35" s="16">
        <f>S35+T35+U35</f>
        <v/>
      </c>
      <c r="W35" s="16">
        <f>MAX(1,E35*P35)</f>
        <v/>
      </c>
      <c r="X35" s="16">
        <f>E35*'الافتراضات'!$B$7</f>
        <v/>
      </c>
      <c r="Y35" s="16">
        <f>E35*'الافتراضات'!$B$8</f>
        <v/>
      </c>
      <c r="Z35" s="16">
        <f>E35/(1+'الافتراضات'!$B$6)</f>
        <v/>
      </c>
      <c r="AA35" s="16">
        <f>Z35-V35-W35-Q35-X35-Y35</f>
        <v/>
      </c>
      <c r="AB35" s="17">
        <f>IF(Z35=0,0,AA35/Z35)</f>
        <v/>
      </c>
      <c r="AC35" s="17">
        <f>IF(V35=0,0,AA35/V35)</f>
        <v/>
      </c>
      <c r="AD35" s="18">
        <f>R35*V35</f>
        <v/>
      </c>
      <c r="AE35" s="16">
        <f>IF(AB35&gt;='الافتراضات'!$B$9,IF(O35="لا","ابدأ به","جيد – يحتاج شهادة"),IF(AB35&gt;='الافتراضات'!$B$10,"مقبول","ضعيف"))</f>
        <v/>
      </c>
      <c r="AF35" s="16">
        <f>IF((1-'الافتراضات'!$B$9)/(1+'الافتراضات'!$B$6)-P35-'الافتراضات'!$B$7-'الافتراضات'!$B$8&lt;=0,0,(V35+Q35)/((1-'الافتراضات'!$B$9)/(1+'الافتراضات'!$B$6)-P35-'الافتراضات'!$B$7-'الافتراضات'!$B$8))</f>
        <v/>
      </c>
    </row>
    <row r="36">
      <c r="A36" s="10" t="n">
        <v>35</v>
      </c>
      <c r="B36" s="11" t="inlineStr">
        <is>
          <t>السيارات والدراجات</t>
        </is>
      </c>
      <c r="C36" s="11" t="inlineStr">
        <is>
          <t>ممسحة سيارة مايكروفايبر قماش</t>
        </is>
      </c>
      <c r="D36" s="11" t="inlineStr">
        <is>
          <t>microfiber car wash mitt</t>
        </is>
      </c>
      <c r="E36" s="12" t="n">
        <v>25</v>
      </c>
      <c r="F36" s="10" t="inlineStr">
        <is>
          <t>تقدير</t>
        </is>
      </c>
      <c r="G36" s="10" t="inlineStr">
        <is>
          <t>تقدير</t>
        </is>
      </c>
      <c r="H36" s="10" t="inlineStr">
        <is>
          <t>لم تُفحص</t>
        </is>
      </c>
      <c r="I36" s="10" t="inlineStr">
        <is>
          <t>لم يُفحص</t>
        </is>
      </c>
      <c r="J36" s="13" t="n">
        <v>0.8</v>
      </c>
      <c r="K36" s="11" t="inlineStr">
        <is>
          <t>تقدير</t>
        </is>
      </c>
      <c r="L36" s="14" t="n">
        <v>0.15</v>
      </c>
      <c r="M36" s="10" t="inlineStr">
        <is>
          <t>صغير</t>
        </is>
      </c>
      <c r="N36" s="11" t="inlineStr">
        <is>
          <t>طوال السنة</t>
        </is>
      </c>
      <c r="O36" s="11" t="inlineStr">
        <is>
          <t>لا</t>
        </is>
      </c>
      <c r="P36" s="15" t="n">
        <v>0.1</v>
      </c>
      <c r="Q36" s="14" t="n">
        <v>7</v>
      </c>
      <c r="R36" s="14" t="n">
        <v>50</v>
      </c>
      <c r="S36" s="16">
        <f>J36*'الافتراضات'!$B$2*(1+'الافتراضات'!$B$3)</f>
        <v/>
      </c>
      <c r="T36" s="16">
        <f>L36*'الافتراضات'!$B$4</f>
        <v/>
      </c>
      <c r="U36" s="16">
        <f>(S36+T36)*'الافتراضات'!$B$5</f>
        <v/>
      </c>
      <c r="V36" s="16">
        <f>S36+T36+U36</f>
        <v/>
      </c>
      <c r="W36" s="16">
        <f>MAX(1,E36*P36)</f>
        <v/>
      </c>
      <c r="X36" s="16">
        <f>E36*'الافتراضات'!$B$7</f>
        <v/>
      </c>
      <c r="Y36" s="16">
        <f>E36*'الافتراضات'!$B$8</f>
        <v/>
      </c>
      <c r="Z36" s="16">
        <f>E36/(1+'الافتراضات'!$B$6)</f>
        <v/>
      </c>
      <c r="AA36" s="16">
        <f>Z36-V36-W36-Q36-X36-Y36</f>
        <v/>
      </c>
      <c r="AB36" s="17">
        <f>IF(Z36=0,0,AA36/Z36)</f>
        <v/>
      </c>
      <c r="AC36" s="17">
        <f>IF(V36=0,0,AA36/V36)</f>
        <v/>
      </c>
      <c r="AD36" s="18">
        <f>R36*V36</f>
        <v/>
      </c>
      <c r="AE36" s="16">
        <f>IF(AB36&gt;='الافتراضات'!$B$9,IF(O36="لا","ابدأ به","جيد – يحتاج شهادة"),IF(AB36&gt;='الافتراضات'!$B$10,"مقبول","ضعيف"))</f>
        <v/>
      </c>
      <c r="AF36" s="16">
        <f>IF((1-'الافتراضات'!$B$9)/(1+'الافتراضات'!$B$6)-P36-'الافتراضات'!$B$7-'الافتراضات'!$B$8&lt;=0,0,(V36+Q36)/((1-'الافتراضات'!$B$9)/(1+'الافتراضات'!$B$6)-P36-'الافتراضات'!$B$7-'الافتراضات'!$B$8))</f>
        <v/>
      </c>
    </row>
    <row r="37">
      <c r="A37" s="10" t="n">
        <v>36</v>
      </c>
      <c r="B37" s="11" t="inlineStr">
        <is>
          <t>الأطفال والألعاب</t>
        </is>
      </c>
      <c r="C37" s="11" t="inlineStr">
        <is>
          <t>لعبة أونو بطاقات</t>
        </is>
      </c>
      <c r="D37" s="11" t="inlineStr">
        <is>
          <t>card game uno style</t>
        </is>
      </c>
      <c r="E37" s="12" t="n">
        <v>25</v>
      </c>
      <c r="F37" s="10" t="inlineStr">
        <is>
          <t>تقدير</t>
        </is>
      </c>
      <c r="G37" s="10" t="inlineStr">
        <is>
          <t>تقدير</t>
        </is>
      </c>
      <c r="H37" s="10" t="inlineStr">
        <is>
          <t>لم تُفحص</t>
        </is>
      </c>
      <c r="I37" s="10" t="inlineStr">
        <is>
          <t>لم يُفحص</t>
        </is>
      </c>
      <c r="J37" s="13" t="n">
        <v>0.9</v>
      </c>
      <c r="K37" s="11" t="inlineStr">
        <is>
          <t>تقدير</t>
        </is>
      </c>
      <c r="L37" s="14" t="n">
        <v>0.1</v>
      </c>
      <c r="M37" s="10" t="inlineStr">
        <is>
          <t>صغير</t>
        </is>
      </c>
      <c r="N37" s="11" t="inlineStr">
        <is>
          <t>طوال السنة</t>
        </is>
      </c>
      <c r="O37" s="11" t="inlineStr">
        <is>
          <t>لا</t>
        </is>
      </c>
      <c r="P37" s="15" t="n">
        <v>0.14</v>
      </c>
      <c r="Q37" s="14" t="n">
        <v>6</v>
      </c>
      <c r="R37" s="14" t="n">
        <v>50</v>
      </c>
      <c r="S37" s="16">
        <f>J37*'الافتراضات'!$B$2*(1+'الافتراضات'!$B$3)</f>
        <v/>
      </c>
      <c r="T37" s="16">
        <f>L37*'الافتراضات'!$B$4</f>
        <v/>
      </c>
      <c r="U37" s="16">
        <f>(S37+T37)*'الافتراضات'!$B$5</f>
        <v/>
      </c>
      <c r="V37" s="16">
        <f>S37+T37+U37</f>
        <v/>
      </c>
      <c r="W37" s="16">
        <f>MAX(1,E37*P37)</f>
        <v/>
      </c>
      <c r="X37" s="16">
        <f>E37*'الافتراضات'!$B$7</f>
        <v/>
      </c>
      <c r="Y37" s="16">
        <f>E37*'الافتراضات'!$B$8</f>
        <v/>
      </c>
      <c r="Z37" s="16">
        <f>E37/(1+'الافتراضات'!$B$6)</f>
        <v/>
      </c>
      <c r="AA37" s="16">
        <f>Z37-V37-W37-Q37-X37-Y37</f>
        <v/>
      </c>
      <c r="AB37" s="17">
        <f>IF(Z37=0,0,AA37/Z37)</f>
        <v/>
      </c>
      <c r="AC37" s="17">
        <f>IF(V37=0,0,AA37/V37)</f>
        <v/>
      </c>
      <c r="AD37" s="18">
        <f>R37*V37</f>
        <v/>
      </c>
      <c r="AE37" s="16">
        <f>IF(AB37&gt;='الافتراضات'!$B$9,IF(O37="لا","ابدأ به","جيد – يحتاج شهادة"),IF(AB37&gt;='الافتراضات'!$B$10,"مقبول","ضعيف"))</f>
        <v/>
      </c>
      <c r="AF37" s="16">
        <f>IF((1-'الافتراضات'!$B$9)/(1+'الافتراضات'!$B$6)-P37-'الافتراضات'!$B$7-'الافتراضات'!$B$8&lt;=0,0,(V37+Q37)/((1-'الافتراضات'!$B$9)/(1+'الافتراضات'!$B$6)-P37-'الافتراضات'!$B$7-'الافتراضات'!$B$8))</f>
        <v/>
      </c>
    </row>
    <row r="38">
      <c r="A38" s="10" t="n">
        <v>37</v>
      </c>
      <c r="B38" s="11" t="inlineStr">
        <is>
          <t>الرياضة واللياقة</t>
        </is>
      </c>
      <c r="C38" s="11" t="inlineStr">
        <is>
          <t>مضرب بادل</t>
        </is>
      </c>
      <c r="D38" s="11" t="inlineStr">
        <is>
          <t>padel racket</t>
        </is>
      </c>
      <c r="E38" s="12" t="n">
        <v>204</v>
      </c>
      <c r="F38" s="10" t="inlineStr">
        <is>
          <t>تقدير</t>
        </is>
      </c>
      <c r="G38" s="10" t="inlineStr">
        <is>
          <t>تقدير</t>
        </is>
      </c>
      <c r="H38" s="10" t="inlineStr">
        <is>
          <t>لم تُفحص</t>
        </is>
      </c>
      <c r="I38" s="10" t="inlineStr">
        <is>
          <t>لم يُفحص</t>
        </is>
      </c>
      <c r="J38" s="13" t="n">
        <v>18</v>
      </c>
      <c r="K38" s="11" t="inlineStr">
        <is>
          <t>تقدير</t>
        </is>
      </c>
      <c r="L38" s="14" t="n">
        <v>0.4</v>
      </c>
      <c r="M38" s="10" t="inlineStr">
        <is>
          <t>متوسط</t>
        </is>
      </c>
      <c r="N38" s="11" t="inlineStr">
        <is>
          <t>طوال السنة</t>
        </is>
      </c>
      <c r="O38" s="11" t="inlineStr">
        <is>
          <t>لا</t>
        </is>
      </c>
      <c r="P38" s="15" t="n">
        <v>0.13</v>
      </c>
      <c r="Q38" s="14" t="n">
        <v>9.5</v>
      </c>
      <c r="R38" s="14" t="n">
        <v>50</v>
      </c>
      <c r="S38" s="16">
        <f>J38*'الافتراضات'!$B$2*(1+'الافتراضات'!$B$3)</f>
        <v/>
      </c>
      <c r="T38" s="16">
        <f>L38*'الافتراضات'!$B$4</f>
        <v/>
      </c>
      <c r="U38" s="16">
        <f>(S38+T38)*'الافتراضات'!$B$5</f>
        <v/>
      </c>
      <c r="V38" s="16">
        <f>S38+T38+U38</f>
        <v/>
      </c>
      <c r="W38" s="16">
        <f>MAX(1,E38*P38)</f>
        <v/>
      </c>
      <c r="X38" s="16">
        <f>E38*'الافتراضات'!$B$7</f>
        <v/>
      </c>
      <c r="Y38" s="16">
        <f>E38*'الافتراضات'!$B$8</f>
        <v/>
      </c>
      <c r="Z38" s="16">
        <f>E38/(1+'الافتراضات'!$B$6)</f>
        <v/>
      </c>
      <c r="AA38" s="16">
        <f>Z38-V38-W38-Q38-X38-Y38</f>
        <v/>
      </c>
      <c r="AB38" s="17">
        <f>IF(Z38=0,0,AA38/Z38)</f>
        <v/>
      </c>
      <c r="AC38" s="17">
        <f>IF(V38=0,0,AA38/V38)</f>
        <v/>
      </c>
      <c r="AD38" s="18">
        <f>R38*V38</f>
        <v/>
      </c>
      <c r="AE38" s="16">
        <f>IF(AB38&gt;='الافتراضات'!$B$9,IF(O38="لا","ابدأ به","جيد – يحتاج شهادة"),IF(AB38&gt;='الافتراضات'!$B$10,"مقبول","ضعيف"))</f>
        <v/>
      </c>
      <c r="AF38" s="16">
        <f>IF((1-'الافتراضات'!$B$9)/(1+'الافتراضات'!$B$6)-P38-'الافتراضات'!$B$7-'الافتراضات'!$B$8&lt;=0,0,(V38+Q38)/((1-'الافتراضات'!$B$9)/(1+'الافتراضات'!$B$6)-P38-'الافتراضات'!$B$7-'الافتراضات'!$B$8))</f>
        <v/>
      </c>
    </row>
    <row r="39">
      <c r="A39" s="10" t="n">
        <v>38</v>
      </c>
      <c r="B39" s="11" t="inlineStr">
        <is>
          <t>إكسسوارات الجوال والإلكترونيات</t>
        </is>
      </c>
      <c r="C39" s="11" t="inlineStr">
        <is>
          <t>مشبك كيبل مكتبي لاصق</t>
        </is>
      </c>
      <c r="D39" s="11" t="inlineStr">
        <is>
          <t>desk cable clips holder</t>
        </is>
      </c>
      <c r="E39" s="12" t="n">
        <v>25</v>
      </c>
      <c r="F39" s="10" t="inlineStr">
        <is>
          <t>تقدير</t>
        </is>
      </c>
      <c r="G39" s="10" t="inlineStr">
        <is>
          <t>تقدير</t>
        </is>
      </c>
      <c r="H39" s="10" t="inlineStr">
        <is>
          <t>لم تُفحص</t>
        </is>
      </c>
      <c r="I39" s="10" t="inlineStr">
        <is>
          <t>لم يُفحص</t>
        </is>
      </c>
      <c r="J39" s="13" t="n">
        <v>0.6</v>
      </c>
      <c r="K39" s="11" t="inlineStr">
        <is>
          <t>تقدير</t>
        </is>
      </c>
      <c r="L39" s="14" t="n">
        <v>0.08</v>
      </c>
      <c r="M39" s="10" t="inlineStr">
        <is>
          <t>صغير</t>
        </is>
      </c>
      <c r="N39" s="11" t="inlineStr">
        <is>
          <t>طوال السنة</t>
        </is>
      </c>
      <c r="O39" s="11" t="inlineStr">
        <is>
          <t>لا</t>
        </is>
      </c>
      <c r="P39" s="15" t="n">
        <v>0.2</v>
      </c>
      <c r="Q39" s="14" t="n">
        <v>6</v>
      </c>
      <c r="R39" s="14" t="n">
        <v>50</v>
      </c>
      <c r="S39" s="16">
        <f>J39*'الافتراضات'!$B$2*(1+'الافتراضات'!$B$3)</f>
        <v/>
      </c>
      <c r="T39" s="16">
        <f>L39*'الافتراضات'!$B$4</f>
        <v/>
      </c>
      <c r="U39" s="16">
        <f>(S39+T39)*'الافتراضات'!$B$5</f>
        <v/>
      </c>
      <c r="V39" s="16">
        <f>S39+T39+U39</f>
        <v/>
      </c>
      <c r="W39" s="16">
        <f>MAX(1,E39*P39)</f>
        <v/>
      </c>
      <c r="X39" s="16">
        <f>E39*'الافتراضات'!$B$7</f>
        <v/>
      </c>
      <c r="Y39" s="16">
        <f>E39*'الافتراضات'!$B$8</f>
        <v/>
      </c>
      <c r="Z39" s="16">
        <f>E39/(1+'الافتراضات'!$B$6)</f>
        <v/>
      </c>
      <c r="AA39" s="16">
        <f>Z39-V39-W39-Q39-X39-Y39</f>
        <v/>
      </c>
      <c r="AB39" s="17">
        <f>IF(Z39=0,0,AA39/Z39)</f>
        <v/>
      </c>
      <c r="AC39" s="17">
        <f>IF(V39=0,0,AA39/V39)</f>
        <v/>
      </c>
      <c r="AD39" s="18">
        <f>R39*V39</f>
        <v/>
      </c>
      <c r="AE39" s="16">
        <f>IF(AB39&gt;='الافتراضات'!$B$9,IF(O39="لا","ابدأ به","جيد – يحتاج شهادة"),IF(AB39&gt;='الافتراضات'!$B$10,"مقبول","ضعيف"))</f>
        <v/>
      </c>
      <c r="AF39" s="16">
        <f>IF((1-'الافتراضات'!$B$9)/(1+'الافتراضات'!$B$6)-P39-'الافتراضات'!$B$7-'الافتراضات'!$B$8&lt;=0,0,(V39+Q39)/((1-'الافتراضات'!$B$9)/(1+'الافتراضات'!$B$6)-P39-'الافتراضات'!$B$7-'الافتراضات'!$B$8))</f>
        <v/>
      </c>
    </row>
    <row r="40">
      <c r="A40" s="10" t="n">
        <v>39</v>
      </c>
      <c r="B40" s="11" t="inlineStr">
        <is>
          <t>الأدوات والصيانة</t>
        </is>
      </c>
      <c r="C40" s="11" t="inlineStr">
        <is>
          <t>قفل باب ذكي بالبصمة</t>
        </is>
      </c>
      <c r="D40" s="11" t="inlineStr">
        <is>
          <t>smart fingerprint door lock</t>
        </is>
      </c>
      <c r="E40" s="12" t="n">
        <v>430</v>
      </c>
      <c r="F40" s="10" t="inlineStr">
        <is>
          <t>تقدير</t>
        </is>
      </c>
      <c r="G40" s="10" t="inlineStr">
        <is>
          <t>تقدير</t>
        </is>
      </c>
      <c r="H40" s="10" t="inlineStr">
        <is>
          <t>لم تُفحص</t>
        </is>
      </c>
      <c r="I40" s="10" t="inlineStr">
        <is>
          <t>لم يُفحص</t>
        </is>
      </c>
      <c r="J40" s="13" t="n">
        <v>38</v>
      </c>
      <c r="K40" s="11" t="inlineStr">
        <is>
          <t>تقدير</t>
        </is>
      </c>
      <c r="L40" s="14" t="n">
        <v>1.5</v>
      </c>
      <c r="M40" s="10" t="inlineStr">
        <is>
          <t>متوسط</t>
        </is>
      </c>
      <c r="N40" s="11" t="inlineStr">
        <is>
          <t>طوال السنة</t>
        </is>
      </c>
      <c r="O40" s="11" t="inlineStr">
        <is>
          <t>SABER + بطارية ليثيوم</t>
        </is>
      </c>
      <c r="P40" s="15" t="n">
        <v>0.14</v>
      </c>
      <c r="Q40" s="14" t="n">
        <v>11.5</v>
      </c>
      <c r="R40" s="14" t="n">
        <v>50</v>
      </c>
      <c r="S40" s="16">
        <f>J40*'الافتراضات'!$B$2*(1+'الافتراضات'!$B$3)</f>
        <v/>
      </c>
      <c r="T40" s="16">
        <f>L40*'الافتراضات'!$B$4</f>
        <v/>
      </c>
      <c r="U40" s="16">
        <f>(S40+T40)*'الافتراضات'!$B$5</f>
        <v/>
      </c>
      <c r="V40" s="16">
        <f>S40+T40+U40</f>
        <v/>
      </c>
      <c r="W40" s="16">
        <f>MAX(1,E40*P40)</f>
        <v/>
      </c>
      <c r="X40" s="16">
        <f>E40*'الافتراضات'!$B$7</f>
        <v/>
      </c>
      <c r="Y40" s="16">
        <f>E40*'الافتراضات'!$B$8</f>
        <v/>
      </c>
      <c r="Z40" s="16">
        <f>E40/(1+'الافتراضات'!$B$6)</f>
        <v/>
      </c>
      <c r="AA40" s="16">
        <f>Z40-V40-W40-Q40-X40-Y40</f>
        <v/>
      </c>
      <c r="AB40" s="17">
        <f>IF(Z40=0,0,AA40/Z40)</f>
        <v/>
      </c>
      <c r="AC40" s="17">
        <f>IF(V40=0,0,AA40/V40)</f>
        <v/>
      </c>
      <c r="AD40" s="18">
        <f>R40*V40</f>
        <v/>
      </c>
      <c r="AE40" s="16">
        <f>IF(AB40&gt;='الافتراضات'!$B$9,IF(O40="لا","ابدأ به","جيد – يحتاج شهادة"),IF(AB40&gt;='الافتراضات'!$B$10,"مقبول","ضعيف"))</f>
        <v/>
      </c>
      <c r="AF40" s="16">
        <f>IF((1-'الافتراضات'!$B$9)/(1+'الافتراضات'!$B$6)-P40-'الافتراضات'!$B$7-'الافتراضات'!$B$8&lt;=0,0,(V40+Q40)/((1-'الافتراضات'!$B$9)/(1+'الافتراضات'!$B$6)-P40-'الافتراضات'!$B$7-'الافتراضات'!$B$8))</f>
        <v/>
      </c>
    </row>
    <row r="41">
      <c r="A41" s="10" t="n">
        <v>40</v>
      </c>
      <c r="B41" s="11" t="inlineStr">
        <is>
          <t>إكسسوارات الجوال والإلكترونيات</t>
        </is>
      </c>
      <c r="C41" s="11" t="inlineStr">
        <is>
          <t>حافظة سماعات TWS سيليكون</t>
        </is>
      </c>
      <c r="D41" s="11" t="inlineStr">
        <is>
          <t>earbuds case silicone</t>
        </is>
      </c>
      <c r="E41" s="12" t="n">
        <v>25</v>
      </c>
      <c r="F41" s="10" t="inlineStr">
        <is>
          <t>تقدير</t>
        </is>
      </c>
      <c r="G41" s="10" t="inlineStr">
        <is>
          <t>تقدير</t>
        </is>
      </c>
      <c r="H41" s="10" t="inlineStr">
        <is>
          <t>لم تُفحص</t>
        </is>
      </c>
      <c r="I41" s="10" t="inlineStr">
        <is>
          <t>لم يُفحص</t>
        </is>
      </c>
      <c r="J41" s="13" t="n">
        <v>0.7</v>
      </c>
      <c r="K41" s="11" t="inlineStr">
        <is>
          <t>تقدير</t>
        </is>
      </c>
      <c r="L41" s="14" t="n">
        <v>0.04</v>
      </c>
      <c r="M41" s="10" t="inlineStr">
        <is>
          <t>صغير</t>
        </is>
      </c>
      <c r="N41" s="11" t="inlineStr">
        <is>
          <t>طوال السنة</t>
        </is>
      </c>
      <c r="O41" s="11" t="inlineStr">
        <is>
          <t>لا</t>
        </is>
      </c>
      <c r="P41" s="15" t="n">
        <v>0.2</v>
      </c>
      <c r="Q41" s="14" t="n">
        <v>6</v>
      </c>
      <c r="R41" s="14" t="n">
        <v>50</v>
      </c>
      <c r="S41" s="16">
        <f>J41*'الافتراضات'!$B$2*(1+'الافتراضات'!$B$3)</f>
        <v/>
      </c>
      <c r="T41" s="16">
        <f>L41*'الافتراضات'!$B$4</f>
        <v/>
      </c>
      <c r="U41" s="16">
        <f>(S41+T41)*'الافتراضات'!$B$5</f>
        <v/>
      </c>
      <c r="V41" s="16">
        <f>S41+T41+U41</f>
        <v/>
      </c>
      <c r="W41" s="16">
        <f>MAX(1,E41*P41)</f>
        <v/>
      </c>
      <c r="X41" s="16">
        <f>E41*'الافتراضات'!$B$7</f>
        <v/>
      </c>
      <c r="Y41" s="16">
        <f>E41*'الافتراضات'!$B$8</f>
        <v/>
      </c>
      <c r="Z41" s="16">
        <f>E41/(1+'الافتراضات'!$B$6)</f>
        <v/>
      </c>
      <c r="AA41" s="16">
        <f>Z41-V41-W41-Q41-X41-Y41</f>
        <v/>
      </c>
      <c r="AB41" s="17">
        <f>IF(Z41=0,0,AA41/Z41)</f>
        <v/>
      </c>
      <c r="AC41" s="17">
        <f>IF(V41=0,0,AA41/V41)</f>
        <v/>
      </c>
      <c r="AD41" s="18">
        <f>R41*V41</f>
        <v/>
      </c>
      <c r="AE41" s="16">
        <f>IF(AB41&gt;='الافتراضات'!$B$9,IF(O41="لا","ابدأ به","جيد – يحتاج شهادة"),IF(AB41&gt;='الافتراضات'!$B$10,"مقبول","ضعيف"))</f>
        <v/>
      </c>
      <c r="AF41" s="16">
        <f>IF((1-'الافتراضات'!$B$9)/(1+'الافتراضات'!$B$6)-P41-'الافتراضات'!$B$7-'الافتراضات'!$B$8&lt;=0,0,(V41+Q41)/((1-'الافتراضات'!$B$9)/(1+'الافتراضات'!$B$6)-P41-'الافتراضات'!$B$7-'الافتراضات'!$B$8))</f>
        <v/>
      </c>
    </row>
    <row r="42">
      <c r="A42" s="10" t="n">
        <v>41</v>
      </c>
      <c r="B42" s="11" t="inlineStr">
        <is>
          <t>إكسسوارات الجوال والإلكترونيات</t>
        </is>
      </c>
      <c r="C42" s="11" t="inlineStr">
        <is>
          <t>سماعات جوال سلكية مع ميكروفون</t>
        </is>
      </c>
      <c r="D42" s="11" t="inlineStr">
        <is>
          <t>wired in ear earphones mic</t>
        </is>
      </c>
      <c r="E42" s="12" t="n">
        <v>25</v>
      </c>
      <c r="F42" s="10" t="inlineStr">
        <is>
          <t>تقدير</t>
        </is>
      </c>
      <c r="G42" s="10" t="inlineStr">
        <is>
          <t>تقدير</t>
        </is>
      </c>
      <c r="H42" s="10" t="inlineStr">
        <is>
          <t>لم تُفحص</t>
        </is>
      </c>
      <c r="I42" s="10" t="inlineStr">
        <is>
          <t>لم يُفحص</t>
        </is>
      </c>
      <c r="J42" s="13" t="n">
        <v>0.7</v>
      </c>
      <c r="K42" s="11" t="inlineStr">
        <is>
          <t>تقدير</t>
        </is>
      </c>
      <c r="L42" s="14" t="n">
        <v>0.04</v>
      </c>
      <c r="M42" s="10" t="inlineStr">
        <is>
          <t>صغير</t>
        </is>
      </c>
      <c r="N42" s="11" t="inlineStr">
        <is>
          <t>طوال السنة</t>
        </is>
      </c>
      <c r="O42" s="11" t="inlineStr">
        <is>
          <t>لا</t>
        </is>
      </c>
      <c r="P42" s="15" t="n">
        <v>0.2</v>
      </c>
      <c r="Q42" s="14" t="n">
        <v>6</v>
      </c>
      <c r="R42" s="14" t="n">
        <v>50</v>
      </c>
      <c r="S42" s="16">
        <f>J42*'الافتراضات'!$B$2*(1+'الافتراضات'!$B$3)</f>
        <v/>
      </c>
      <c r="T42" s="16">
        <f>L42*'الافتراضات'!$B$4</f>
        <v/>
      </c>
      <c r="U42" s="16">
        <f>(S42+T42)*'الافتراضات'!$B$5</f>
        <v/>
      </c>
      <c r="V42" s="16">
        <f>S42+T42+U42</f>
        <v/>
      </c>
      <c r="W42" s="16">
        <f>MAX(1,E42*P42)</f>
        <v/>
      </c>
      <c r="X42" s="16">
        <f>E42*'الافتراضات'!$B$7</f>
        <v/>
      </c>
      <c r="Y42" s="16">
        <f>E42*'الافتراضات'!$B$8</f>
        <v/>
      </c>
      <c r="Z42" s="16">
        <f>E42/(1+'الافتراضات'!$B$6)</f>
        <v/>
      </c>
      <c r="AA42" s="16">
        <f>Z42-V42-W42-Q42-X42-Y42</f>
        <v/>
      </c>
      <c r="AB42" s="17">
        <f>IF(Z42=0,0,AA42/Z42)</f>
        <v/>
      </c>
      <c r="AC42" s="17">
        <f>IF(V42=0,0,AA42/V42)</f>
        <v/>
      </c>
      <c r="AD42" s="18">
        <f>R42*V42</f>
        <v/>
      </c>
      <c r="AE42" s="16">
        <f>IF(AB42&gt;='الافتراضات'!$B$9,IF(O42="لا","ابدأ به","جيد – يحتاج شهادة"),IF(AB42&gt;='الافتراضات'!$B$10,"مقبول","ضعيف"))</f>
        <v/>
      </c>
      <c r="AF42" s="16">
        <f>IF((1-'الافتراضات'!$B$9)/(1+'الافتراضات'!$B$6)-P42-'الافتراضات'!$B$7-'الافتراضات'!$B$8&lt;=0,0,(V42+Q42)/((1-'الافتراضات'!$B$9)/(1+'الافتراضات'!$B$6)-P42-'الافتراضات'!$B$7-'الافتراضات'!$B$8))</f>
        <v/>
      </c>
    </row>
    <row r="43">
      <c r="A43" s="10" t="n">
        <v>42</v>
      </c>
      <c r="B43" s="11" t="inlineStr">
        <is>
          <t>السيارات والدراجات</t>
        </is>
      </c>
      <c r="C43" s="11" t="inlineStr">
        <is>
          <t>سكوتر كهربائي قابل للطي</t>
        </is>
      </c>
      <c r="D43" s="11" t="inlineStr">
        <is>
          <t>foldable electric scooter</t>
        </is>
      </c>
      <c r="E43" s="12" t="n">
        <v>1358</v>
      </c>
      <c r="F43" s="10" t="inlineStr">
        <is>
          <t>تقدير</t>
        </is>
      </c>
      <c r="G43" s="10" t="inlineStr">
        <is>
          <t>تقدير</t>
        </is>
      </c>
      <c r="H43" s="10" t="inlineStr">
        <is>
          <t>لم تُفحص</t>
        </is>
      </c>
      <c r="I43" s="10" t="inlineStr">
        <is>
          <t>لم يُفحص</t>
        </is>
      </c>
      <c r="J43" s="13" t="n">
        <v>120</v>
      </c>
      <c r="K43" s="11" t="inlineStr">
        <is>
          <t>تقدير</t>
        </is>
      </c>
      <c r="L43" s="14" t="n">
        <v>13</v>
      </c>
      <c r="M43" s="10" t="inlineStr">
        <is>
          <t>كبير</t>
        </is>
      </c>
      <c r="N43" s="11" t="inlineStr">
        <is>
          <t>طوال السنة</t>
        </is>
      </c>
      <c r="O43" s="11" t="inlineStr">
        <is>
          <t>تحقق من اللوائح</t>
        </is>
      </c>
      <c r="P43" s="15" t="n">
        <v>0.1</v>
      </c>
      <c r="Q43" s="14" t="n">
        <v>26</v>
      </c>
      <c r="R43" s="14" t="n">
        <v>50</v>
      </c>
      <c r="S43" s="16">
        <f>J43*'الافتراضات'!$B$2*(1+'الافتراضات'!$B$3)</f>
        <v/>
      </c>
      <c r="T43" s="16">
        <f>L43*'الافتراضات'!$B$4</f>
        <v/>
      </c>
      <c r="U43" s="16">
        <f>(S43+T43)*'الافتراضات'!$B$5</f>
        <v/>
      </c>
      <c r="V43" s="16">
        <f>S43+T43+U43</f>
        <v/>
      </c>
      <c r="W43" s="16">
        <f>MAX(1,E43*P43)</f>
        <v/>
      </c>
      <c r="X43" s="16">
        <f>E43*'الافتراضات'!$B$7</f>
        <v/>
      </c>
      <c r="Y43" s="16">
        <f>E43*'الافتراضات'!$B$8</f>
        <v/>
      </c>
      <c r="Z43" s="16">
        <f>E43/(1+'الافتراضات'!$B$6)</f>
        <v/>
      </c>
      <c r="AA43" s="16">
        <f>Z43-V43-W43-Q43-X43-Y43</f>
        <v/>
      </c>
      <c r="AB43" s="17">
        <f>IF(Z43=0,0,AA43/Z43)</f>
        <v/>
      </c>
      <c r="AC43" s="17">
        <f>IF(V43=0,0,AA43/V43)</f>
        <v/>
      </c>
      <c r="AD43" s="18">
        <f>R43*V43</f>
        <v/>
      </c>
      <c r="AE43" s="16">
        <f>IF(AB43&gt;='الافتراضات'!$B$9,IF(O43="لا","ابدأ به","جيد – يحتاج شهادة"),IF(AB43&gt;='الافتراضات'!$B$10,"مقبول","ضعيف"))</f>
        <v/>
      </c>
      <c r="AF43" s="16">
        <f>IF((1-'الافتراضات'!$B$9)/(1+'الافتراضات'!$B$6)-P43-'الافتراضات'!$B$7-'الافتراضات'!$B$8&lt;=0,0,(V43+Q43)/((1-'الافتراضات'!$B$9)/(1+'الافتراضات'!$B$6)-P43-'الافتراضات'!$B$7-'الافتراضات'!$B$8))</f>
        <v/>
      </c>
    </row>
    <row r="44">
      <c r="A44" s="10" t="n">
        <v>43</v>
      </c>
      <c r="B44" s="11" t="inlineStr">
        <is>
          <t>التخييم والسفر</t>
        </is>
      </c>
      <c r="C44" s="11" t="inlineStr">
        <is>
          <t>حقيبة مقاومة للماء للجوال</t>
        </is>
      </c>
      <c r="D44" s="11" t="inlineStr">
        <is>
          <t>waterproof phone pouch</t>
        </is>
      </c>
      <c r="E44" s="12" t="n">
        <v>25</v>
      </c>
      <c r="F44" s="10" t="inlineStr">
        <is>
          <t>تقدير</t>
        </is>
      </c>
      <c r="G44" s="10" t="inlineStr">
        <is>
          <t>تقدير</t>
        </is>
      </c>
      <c r="H44" s="10" t="inlineStr">
        <is>
          <t>لم تُفحص</t>
        </is>
      </c>
      <c r="I44" s="10" t="inlineStr">
        <is>
          <t>لم يُفحص</t>
        </is>
      </c>
      <c r="J44" s="13" t="n">
        <v>0.7</v>
      </c>
      <c r="K44" s="11" t="inlineStr">
        <is>
          <t>تقدير</t>
        </is>
      </c>
      <c r="L44" s="14" t="n">
        <v>0.05</v>
      </c>
      <c r="M44" s="10" t="inlineStr">
        <is>
          <t>صغير</t>
        </is>
      </c>
      <c r="N44" s="11" t="inlineStr">
        <is>
          <t>الصيف</t>
        </is>
      </c>
      <c r="O44" s="11" t="inlineStr">
        <is>
          <t>لا</t>
        </is>
      </c>
      <c r="P44" s="15" t="n">
        <v>0.2</v>
      </c>
      <c r="Q44" s="14" t="n">
        <v>6</v>
      </c>
      <c r="R44" s="14" t="n">
        <v>50</v>
      </c>
      <c r="S44" s="16">
        <f>J44*'الافتراضات'!$B$2*(1+'الافتراضات'!$B$3)</f>
        <v/>
      </c>
      <c r="T44" s="16">
        <f>L44*'الافتراضات'!$B$4</f>
        <v/>
      </c>
      <c r="U44" s="16">
        <f>(S44+T44)*'الافتراضات'!$B$5</f>
        <v/>
      </c>
      <c r="V44" s="16">
        <f>S44+T44+U44</f>
        <v/>
      </c>
      <c r="W44" s="16">
        <f>MAX(1,E44*P44)</f>
        <v/>
      </c>
      <c r="X44" s="16">
        <f>E44*'الافتراضات'!$B$7</f>
        <v/>
      </c>
      <c r="Y44" s="16">
        <f>E44*'الافتراضات'!$B$8</f>
        <v/>
      </c>
      <c r="Z44" s="16">
        <f>E44/(1+'الافتراضات'!$B$6)</f>
        <v/>
      </c>
      <c r="AA44" s="16">
        <f>Z44-V44-W44-Q44-X44-Y44</f>
        <v/>
      </c>
      <c r="AB44" s="17">
        <f>IF(Z44=0,0,AA44/Z44)</f>
        <v/>
      </c>
      <c r="AC44" s="17">
        <f>IF(V44=0,0,AA44/V44)</f>
        <v/>
      </c>
      <c r="AD44" s="18">
        <f>R44*V44</f>
        <v/>
      </c>
      <c r="AE44" s="16">
        <f>IF(AB44&gt;='الافتراضات'!$B$9,IF(O44="لا","ابدأ به","جيد – يحتاج شهادة"),IF(AB44&gt;='الافتراضات'!$B$10,"مقبول","ضعيف"))</f>
        <v/>
      </c>
      <c r="AF44" s="16">
        <f>IF((1-'الافتراضات'!$B$9)/(1+'الافتراضات'!$B$6)-P44-'الافتراضات'!$B$7-'الافتراضات'!$B$8&lt;=0,0,(V44+Q44)/((1-'الافتراضات'!$B$9)/(1+'الافتراضات'!$B$6)-P44-'الافتراضات'!$B$7-'الافتراضات'!$B$8))</f>
        <v/>
      </c>
    </row>
    <row r="45">
      <c r="A45" s="10" t="n">
        <v>44</v>
      </c>
      <c r="B45" s="11" t="inlineStr">
        <is>
          <t>إكسسوارات الجوال والإلكترونيات</t>
        </is>
      </c>
      <c r="C45" s="11" t="inlineStr">
        <is>
          <t>حامل لاصق للجوال</t>
        </is>
      </c>
      <c r="D45" s="11" t="inlineStr">
        <is>
          <t>sticky phone pad dash</t>
        </is>
      </c>
      <c r="E45" s="12" t="n">
        <v>25</v>
      </c>
      <c r="F45" s="10" t="inlineStr">
        <is>
          <t>تقدير</t>
        </is>
      </c>
      <c r="G45" s="10" t="inlineStr">
        <is>
          <t>تقدير</t>
        </is>
      </c>
      <c r="H45" s="10" t="inlineStr">
        <is>
          <t>لم تُفحص</t>
        </is>
      </c>
      <c r="I45" s="10" t="inlineStr">
        <is>
          <t>لم يُفحص</t>
        </is>
      </c>
      <c r="J45" s="13" t="n">
        <v>0.7</v>
      </c>
      <c r="K45" s="11" t="inlineStr">
        <is>
          <t>تقدير</t>
        </is>
      </c>
      <c r="L45" s="14" t="n">
        <v>0.05</v>
      </c>
      <c r="M45" s="10" t="inlineStr">
        <is>
          <t>صغير</t>
        </is>
      </c>
      <c r="N45" s="11" t="inlineStr">
        <is>
          <t>طوال السنة</t>
        </is>
      </c>
      <c r="O45" s="11" t="inlineStr">
        <is>
          <t>لا</t>
        </is>
      </c>
      <c r="P45" s="15" t="n">
        <v>0.2</v>
      </c>
      <c r="Q45" s="14" t="n">
        <v>6</v>
      </c>
      <c r="R45" s="14" t="n">
        <v>50</v>
      </c>
      <c r="S45" s="16">
        <f>J45*'الافتراضات'!$B$2*(1+'الافتراضات'!$B$3)</f>
        <v/>
      </c>
      <c r="T45" s="16">
        <f>L45*'الافتراضات'!$B$4</f>
        <v/>
      </c>
      <c r="U45" s="16">
        <f>(S45+T45)*'الافتراضات'!$B$5</f>
        <v/>
      </c>
      <c r="V45" s="16">
        <f>S45+T45+U45</f>
        <v/>
      </c>
      <c r="W45" s="16">
        <f>MAX(1,E45*P45)</f>
        <v/>
      </c>
      <c r="X45" s="16">
        <f>E45*'الافتراضات'!$B$7</f>
        <v/>
      </c>
      <c r="Y45" s="16">
        <f>E45*'الافتراضات'!$B$8</f>
        <v/>
      </c>
      <c r="Z45" s="16">
        <f>E45/(1+'الافتراضات'!$B$6)</f>
        <v/>
      </c>
      <c r="AA45" s="16">
        <f>Z45-V45-W45-Q45-X45-Y45</f>
        <v/>
      </c>
      <c r="AB45" s="17">
        <f>IF(Z45=0,0,AA45/Z45)</f>
        <v/>
      </c>
      <c r="AC45" s="17">
        <f>IF(V45=0,0,AA45/V45)</f>
        <v/>
      </c>
      <c r="AD45" s="18">
        <f>R45*V45</f>
        <v/>
      </c>
      <c r="AE45" s="16">
        <f>IF(AB45&gt;='الافتراضات'!$B$9,IF(O45="لا","ابدأ به","جيد – يحتاج شهادة"),IF(AB45&gt;='الافتراضات'!$B$10,"مقبول","ضعيف"))</f>
        <v/>
      </c>
      <c r="AF45" s="16">
        <f>IF((1-'الافتراضات'!$B$9)/(1+'الافتراضات'!$B$6)-P45-'الافتراضات'!$B$7-'الافتراضات'!$B$8&lt;=0,0,(V45+Q45)/((1-'الافتراضات'!$B$9)/(1+'الافتراضات'!$B$6)-P45-'الافتراضات'!$B$7-'الافتراضات'!$B$8))</f>
        <v/>
      </c>
    </row>
    <row r="46">
      <c r="A46" s="10" t="n">
        <v>45</v>
      </c>
      <c r="B46" s="11" t="inlineStr">
        <is>
          <t>الأدوات والصيانة</t>
        </is>
      </c>
      <c r="C46" s="11" t="inlineStr">
        <is>
          <t>ملصقات فسفورية</t>
        </is>
      </c>
      <c r="D46" s="11" t="inlineStr">
        <is>
          <t>glow in the dark stickers</t>
        </is>
      </c>
      <c r="E46" s="12" t="n">
        <v>25</v>
      </c>
      <c r="F46" s="10" t="inlineStr">
        <is>
          <t>تقدير</t>
        </is>
      </c>
      <c r="G46" s="10" t="inlineStr">
        <is>
          <t>تقدير</t>
        </is>
      </c>
      <c r="H46" s="10" t="inlineStr">
        <is>
          <t>لم تُفحص</t>
        </is>
      </c>
      <c r="I46" s="10" t="inlineStr">
        <is>
          <t>لم يُفحص</t>
        </is>
      </c>
      <c r="J46" s="13" t="n">
        <v>1</v>
      </c>
      <c r="K46" s="11" t="inlineStr">
        <is>
          <t>تقدير</t>
        </is>
      </c>
      <c r="L46" s="14" t="n">
        <v>0.08</v>
      </c>
      <c r="M46" s="10" t="inlineStr">
        <is>
          <t>صغير</t>
        </is>
      </c>
      <c r="N46" s="11" t="inlineStr">
        <is>
          <t>طوال السنة</t>
        </is>
      </c>
      <c r="O46" s="11" t="inlineStr">
        <is>
          <t>لا</t>
        </is>
      </c>
      <c r="P46" s="15" t="n">
        <v>0.14</v>
      </c>
      <c r="Q46" s="14" t="n">
        <v>6</v>
      </c>
      <c r="R46" s="14" t="n">
        <v>50</v>
      </c>
      <c r="S46" s="16">
        <f>J46*'الافتراضات'!$B$2*(1+'الافتراضات'!$B$3)</f>
        <v/>
      </c>
      <c r="T46" s="16">
        <f>L46*'الافتراضات'!$B$4</f>
        <v/>
      </c>
      <c r="U46" s="16">
        <f>(S46+T46)*'الافتراضات'!$B$5</f>
        <v/>
      </c>
      <c r="V46" s="16">
        <f>S46+T46+U46</f>
        <v/>
      </c>
      <c r="W46" s="16">
        <f>MAX(1,E46*P46)</f>
        <v/>
      </c>
      <c r="X46" s="16">
        <f>E46*'الافتراضات'!$B$7</f>
        <v/>
      </c>
      <c r="Y46" s="16">
        <f>E46*'الافتراضات'!$B$8</f>
        <v/>
      </c>
      <c r="Z46" s="16">
        <f>E46/(1+'الافتراضات'!$B$6)</f>
        <v/>
      </c>
      <c r="AA46" s="16">
        <f>Z46-V46-W46-Q46-X46-Y46</f>
        <v/>
      </c>
      <c r="AB46" s="17">
        <f>IF(Z46=0,0,AA46/Z46)</f>
        <v/>
      </c>
      <c r="AC46" s="17">
        <f>IF(V46=0,0,AA46/V46)</f>
        <v/>
      </c>
      <c r="AD46" s="18">
        <f>R46*V46</f>
        <v/>
      </c>
      <c r="AE46" s="16">
        <f>IF(AB46&gt;='الافتراضات'!$B$9,IF(O46="لا","ابدأ به","جيد – يحتاج شهادة"),IF(AB46&gt;='الافتراضات'!$B$10,"مقبول","ضعيف"))</f>
        <v/>
      </c>
      <c r="AF46" s="16">
        <f>IF((1-'الافتراضات'!$B$9)/(1+'الافتراضات'!$B$6)-P46-'الافتراضات'!$B$7-'الافتراضات'!$B$8&lt;=0,0,(V46+Q46)/((1-'الافتراضات'!$B$9)/(1+'الافتراضات'!$B$6)-P46-'الافتراضات'!$B$7-'الافتراضات'!$B$8))</f>
        <v/>
      </c>
    </row>
    <row r="47">
      <c r="A47" s="10" t="n">
        <v>46</v>
      </c>
      <c r="B47" s="11" t="inlineStr">
        <is>
          <t>رمضان والمناسبات</t>
        </is>
      </c>
      <c r="C47" s="11" t="inlineStr">
        <is>
          <t>مسبحة 99 حبة</t>
        </is>
      </c>
      <c r="D47" s="11" t="inlineStr">
        <is>
          <t>tasbeeh prayer beads 99</t>
        </is>
      </c>
      <c r="E47" s="12" t="n">
        <v>25</v>
      </c>
      <c r="F47" s="10" t="inlineStr">
        <is>
          <t>تقدير</t>
        </is>
      </c>
      <c r="G47" s="10" t="inlineStr">
        <is>
          <t>تقدير</t>
        </is>
      </c>
      <c r="H47" s="10" t="inlineStr">
        <is>
          <t>لم تُفحص</t>
        </is>
      </c>
      <c r="I47" s="10" t="inlineStr">
        <is>
          <t>لم يُفحص</t>
        </is>
      </c>
      <c r="J47" s="13" t="n">
        <v>1</v>
      </c>
      <c r="K47" s="11" t="inlineStr">
        <is>
          <t>تقدير</t>
        </is>
      </c>
      <c r="L47" s="14" t="n">
        <v>0.08</v>
      </c>
      <c r="M47" s="10" t="inlineStr">
        <is>
          <t>صغير</t>
        </is>
      </c>
      <c r="N47" s="11" t="inlineStr">
        <is>
          <t>رمضان والمناسبات</t>
        </is>
      </c>
      <c r="O47" s="11" t="inlineStr">
        <is>
          <t>لا</t>
        </is>
      </c>
      <c r="P47" s="15" t="n">
        <v>0.14</v>
      </c>
      <c r="Q47" s="14" t="n">
        <v>6</v>
      </c>
      <c r="R47" s="14" t="n">
        <v>50</v>
      </c>
      <c r="S47" s="16">
        <f>J47*'الافتراضات'!$B$2*(1+'الافتراضات'!$B$3)</f>
        <v/>
      </c>
      <c r="T47" s="16">
        <f>L47*'الافتراضات'!$B$4</f>
        <v/>
      </c>
      <c r="U47" s="16">
        <f>(S47+T47)*'الافتراضات'!$B$5</f>
        <v/>
      </c>
      <c r="V47" s="16">
        <f>S47+T47+U47</f>
        <v/>
      </c>
      <c r="W47" s="16">
        <f>MAX(1,E47*P47)</f>
        <v/>
      </c>
      <c r="X47" s="16">
        <f>E47*'الافتراضات'!$B$7</f>
        <v/>
      </c>
      <c r="Y47" s="16">
        <f>E47*'الافتراضات'!$B$8</f>
        <v/>
      </c>
      <c r="Z47" s="16">
        <f>E47/(1+'الافتراضات'!$B$6)</f>
        <v/>
      </c>
      <c r="AA47" s="16">
        <f>Z47-V47-W47-Q47-X47-Y47</f>
        <v/>
      </c>
      <c r="AB47" s="17">
        <f>IF(Z47=0,0,AA47/Z47)</f>
        <v/>
      </c>
      <c r="AC47" s="17">
        <f>IF(V47=0,0,AA47/V47)</f>
        <v/>
      </c>
      <c r="AD47" s="18">
        <f>R47*V47</f>
        <v/>
      </c>
      <c r="AE47" s="16">
        <f>IF(AB47&gt;='الافتراضات'!$B$9,IF(O47="لا","ابدأ به","جيد – يحتاج شهادة"),IF(AB47&gt;='الافتراضات'!$B$10,"مقبول","ضعيف"))</f>
        <v/>
      </c>
      <c r="AF47" s="16">
        <f>IF((1-'الافتراضات'!$B$9)/(1+'الافتراضات'!$B$6)-P47-'الافتراضات'!$B$7-'الافتراضات'!$B$8&lt;=0,0,(V47+Q47)/((1-'الافتراضات'!$B$9)/(1+'الافتراضات'!$B$6)-P47-'الافتراضات'!$B$7-'الافتراضات'!$B$8))</f>
        <v/>
      </c>
    </row>
    <row r="48">
      <c r="A48" s="10" t="n">
        <v>47</v>
      </c>
      <c r="B48" s="11" t="inlineStr">
        <is>
          <t>السيارات والدراجات</t>
        </is>
      </c>
      <c r="C48" s="11" t="inlineStr">
        <is>
          <t>حامل جوال مغناطيسي للتكييف</t>
        </is>
      </c>
      <c r="D48" s="11" t="inlineStr">
        <is>
          <t>magnetic car phone holder vent</t>
        </is>
      </c>
      <c r="E48" s="12" t="n">
        <v>25</v>
      </c>
      <c r="F48" s="10" t="inlineStr">
        <is>
          <t>تقدير</t>
        </is>
      </c>
      <c r="G48" s="10" t="inlineStr">
        <is>
          <t>تقدير</t>
        </is>
      </c>
      <c r="H48" s="10" t="inlineStr">
        <is>
          <t>لم تُفحص</t>
        </is>
      </c>
      <c r="I48" s="10" t="inlineStr">
        <is>
          <t>لم يُفحص</t>
        </is>
      </c>
      <c r="J48" s="13" t="n">
        <v>1.2</v>
      </c>
      <c r="K48" s="11" t="inlineStr">
        <is>
          <t>تقدير</t>
        </is>
      </c>
      <c r="L48" s="14" t="n">
        <v>0.1</v>
      </c>
      <c r="M48" s="10" t="inlineStr">
        <is>
          <t>صغير</t>
        </is>
      </c>
      <c r="N48" s="11" t="inlineStr">
        <is>
          <t>طوال السنة</t>
        </is>
      </c>
      <c r="O48" s="11" t="inlineStr">
        <is>
          <t>لا</t>
        </is>
      </c>
      <c r="P48" s="15" t="n">
        <v>0.1</v>
      </c>
      <c r="Q48" s="14" t="n">
        <v>6</v>
      </c>
      <c r="R48" s="14" t="n">
        <v>50</v>
      </c>
      <c r="S48" s="16">
        <f>J48*'الافتراضات'!$B$2*(1+'الافتراضات'!$B$3)</f>
        <v/>
      </c>
      <c r="T48" s="16">
        <f>L48*'الافتراضات'!$B$4</f>
        <v/>
      </c>
      <c r="U48" s="16">
        <f>(S48+T48)*'الافتراضات'!$B$5</f>
        <v/>
      </c>
      <c r="V48" s="16">
        <f>S48+T48+U48</f>
        <v/>
      </c>
      <c r="W48" s="16">
        <f>MAX(1,E48*P48)</f>
        <v/>
      </c>
      <c r="X48" s="16">
        <f>E48*'الافتراضات'!$B$7</f>
        <v/>
      </c>
      <c r="Y48" s="16">
        <f>E48*'الافتراضات'!$B$8</f>
        <v/>
      </c>
      <c r="Z48" s="16">
        <f>E48/(1+'الافتراضات'!$B$6)</f>
        <v/>
      </c>
      <c r="AA48" s="16">
        <f>Z48-V48-W48-Q48-X48-Y48</f>
        <v/>
      </c>
      <c r="AB48" s="17">
        <f>IF(Z48=0,0,AA48/Z48)</f>
        <v/>
      </c>
      <c r="AC48" s="17">
        <f>IF(V48=0,0,AA48/V48)</f>
        <v/>
      </c>
      <c r="AD48" s="18">
        <f>R48*V48</f>
        <v/>
      </c>
      <c r="AE48" s="16">
        <f>IF(AB48&gt;='الافتراضات'!$B$9,IF(O48="لا","ابدأ به","جيد – يحتاج شهادة"),IF(AB48&gt;='الافتراضات'!$B$10,"مقبول","ضعيف"))</f>
        <v/>
      </c>
      <c r="AF48" s="16">
        <f>IF((1-'الافتراضات'!$B$9)/(1+'الافتراضات'!$B$6)-P48-'الافتراضات'!$B$7-'الافتراضات'!$B$8&lt;=0,0,(V48+Q48)/((1-'الافتراضات'!$B$9)/(1+'الافتراضات'!$B$6)-P48-'الافتراضات'!$B$7-'الافتراضات'!$B$8))</f>
        <v/>
      </c>
    </row>
    <row r="49">
      <c r="A49" s="10" t="n">
        <v>48</v>
      </c>
      <c r="B49" s="11" t="inlineStr">
        <is>
          <t>إكسسوارات الجوال والإلكترونيات</t>
        </is>
      </c>
      <c r="C49" s="11" t="inlineStr">
        <is>
          <t>ماسحة ضوئية صغيرة لباركود</t>
        </is>
      </c>
      <c r="D49" s="11" t="inlineStr">
        <is>
          <t>barcode scanner wireless</t>
        </is>
      </c>
      <c r="E49" s="12" t="n">
        <v>158</v>
      </c>
      <c r="F49" s="10" t="inlineStr">
        <is>
          <t>تقدير</t>
        </is>
      </c>
      <c r="G49" s="10" t="inlineStr">
        <is>
          <t>تقدير</t>
        </is>
      </c>
      <c r="H49" s="10" t="inlineStr">
        <is>
          <t>لم تُفحص</t>
        </is>
      </c>
      <c r="I49" s="10" t="inlineStr">
        <is>
          <t>لم يُفحص</t>
        </is>
      </c>
      <c r="J49" s="13" t="n">
        <v>14</v>
      </c>
      <c r="K49" s="11" t="inlineStr">
        <is>
          <t>تقدير</t>
        </is>
      </c>
      <c r="L49" s="14" t="n">
        <v>0.3</v>
      </c>
      <c r="M49" s="10" t="inlineStr">
        <is>
          <t>متوسط</t>
        </is>
      </c>
      <c r="N49" s="11" t="inlineStr">
        <is>
          <t>طوال السنة</t>
        </is>
      </c>
      <c r="O49" s="11" t="inlineStr">
        <is>
          <t>SABER + بطارية ليثيوم</t>
        </is>
      </c>
      <c r="P49" s="15" t="n">
        <v>0.13</v>
      </c>
      <c r="Q49" s="14" t="n">
        <v>9.5</v>
      </c>
      <c r="R49" s="14" t="n">
        <v>50</v>
      </c>
      <c r="S49" s="16">
        <f>J49*'الافتراضات'!$B$2*(1+'الافتراضات'!$B$3)</f>
        <v/>
      </c>
      <c r="T49" s="16">
        <f>L49*'الافتراضات'!$B$4</f>
        <v/>
      </c>
      <c r="U49" s="16">
        <f>(S49+T49)*'الافتراضات'!$B$5</f>
        <v/>
      </c>
      <c r="V49" s="16">
        <f>S49+T49+U49</f>
        <v/>
      </c>
      <c r="W49" s="16">
        <f>MAX(1,E49*P49)</f>
        <v/>
      </c>
      <c r="X49" s="16">
        <f>E49*'الافتراضات'!$B$7</f>
        <v/>
      </c>
      <c r="Y49" s="16">
        <f>E49*'الافتراضات'!$B$8</f>
        <v/>
      </c>
      <c r="Z49" s="16">
        <f>E49/(1+'الافتراضات'!$B$6)</f>
        <v/>
      </c>
      <c r="AA49" s="16">
        <f>Z49-V49-W49-Q49-X49-Y49</f>
        <v/>
      </c>
      <c r="AB49" s="17">
        <f>IF(Z49=0,0,AA49/Z49)</f>
        <v/>
      </c>
      <c r="AC49" s="17">
        <f>IF(V49=0,0,AA49/V49)</f>
        <v/>
      </c>
      <c r="AD49" s="18">
        <f>R49*V49</f>
        <v/>
      </c>
      <c r="AE49" s="16">
        <f>IF(AB49&gt;='الافتراضات'!$B$9,IF(O49="لا","ابدأ به","جيد – يحتاج شهادة"),IF(AB49&gt;='الافتراضات'!$B$10,"مقبول","ضعيف"))</f>
        <v/>
      </c>
      <c r="AF49" s="16">
        <f>IF((1-'الافتراضات'!$B$9)/(1+'الافتراضات'!$B$6)-P49-'الافتراضات'!$B$7-'الافتراضات'!$B$8&lt;=0,0,(V49+Q49)/((1-'الافتراضات'!$B$9)/(1+'الافتراضات'!$B$6)-P49-'الافتراضات'!$B$7-'الافتراضات'!$B$8))</f>
        <v/>
      </c>
    </row>
    <row r="50">
      <c r="A50" s="10" t="n">
        <v>49</v>
      </c>
      <c r="B50" s="11" t="inlineStr">
        <is>
          <t>الأدوات والصيانة</t>
        </is>
      </c>
      <c r="C50" s="11" t="inlineStr">
        <is>
          <t>قفل خزانة</t>
        </is>
      </c>
      <c r="D50" s="11" t="inlineStr">
        <is>
          <t>cabinet lock cam</t>
        </is>
      </c>
      <c r="E50" s="12" t="n">
        <v>25</v>
      </c>
      <c r="F50" s="10" t="inlineStr">
        <is>
          <t>تقدير</t>
        </is>
      </c>
      <c r="G50" s="10" t="inlineStr">
        <is>
          <t>تقدير</t>
        </is>
      </c>
      <c r="H50" s="10" t="inlineStr">
        <is>
          <t>لم تُفحص</t>
        </is>
      </c>
      <c r="I50" s="10" t="inlineStr">
        <is>
          <t>لم يُفحص</t>
        </is>
      </c>
      <c r="J50" s="13" t="n">
        <v>1</v>
      </c>
      <c r="K50" s="11" t="inlineStr">
        <is>
          <t>تقدير</t>
        </is>
      </c>
      <c r="L50" s="14" t="n">
        <v>0.1</v>
      </c>
      <c r="M50" s="10" t="inlineStr">
        <is>
          <t>صغير</t>
        </is>
      </c>
      <c r="N50" s="11" t="inlineStr">
        <is>
          <t>طوال السنة</t>
        </is>
      </c>
      <c r="O50" s="11" t="inlineStr">
        <is>
          <t>لا</t>
        </is>
      </c>
      <c r="P50" s="15" t="n">
        <v>0.14</v>
      </c>
      <c r="Q50" s="14" t="n">
        <v>6</v>
      </c>
      <c r="R50" s="14" t="n">
        <v>50</v>
      </c>
      <c r="S50" s="16">
        <f>J50*'الافتراضات'!$B$2*(1+'الافتراضات'!$B$3)</f>
        <v/>
      </c>
      <c r="T50" s="16">
        <f>L50*'الافتراضات'!$B$4</f>
        <v/>
      </c>
      <c r="U50" s="16">
        <f>(S50+T50)*'الافتراضات'!$B$5</f>
        <v/>
      </c>
      <c r="V50" s="16">
        <f>S50+T50+U50</f>
        <v/>
      </c>
      <c r="W50" s="16">
        <f>MAX(1,E50*P50)</f>
        <v/>
      </c>
      <c r="X50" s="16">
        <f>E50*'الافتراضات'!$B$7</f>
        <v/>
      </c>
      <c r="Y50" s="16">
        <f>E50*'الافتراضات'!$B$8</f>
        <v/>
      </c>
      <c r="Z50" s="16">
        <f>E50/(1+'الافتراضات'!$B$6)</f>
        <v/>
      </c>
      <c r="AA50" s="16">
        <f>Z50-V50-W50-Q50-X50-Y50</f>
        <v/>
      </c>
      <c r="AB50" s="17">
        <f>IF(Z50=0,0,AA50/Z50)</f>
        <v/>
      </c>
      <c r="AC50" s="17">
        <f>IF(V50=0,0,AA50/V50)</f>
        <v/>
      </c>
      <c r="AD50" s="18">
        <f>R50*V50</f>
        <v/>
      </c>
      <c r="AE50" s="16">
        <f>IF(AB50&gt;='الافتراضات'!$B$9,IF(O50="لا","ابدأ به","جيد – يحتاج شهادة"),IF(AB50&gt;='الافتراضات'!$B$10,"مقبول","ضعيف"))</f>
        <v/>
      </c>
      <c r="AF50" s="16">
        <f>IF((1-'الافتراضات'!$B$9)/(1+'الافتراضات'!$B$6)-P50-'الافتراضات'!$B$7-'الافتراضات'!$B$8&lt;=0,0,(V50+Q50)/((1-'الافتراضات'!$B$9)/(1+'الافتراضات'!$B$6)-P50-'الافتراضات'!$B$7-'الافتراضات'!$B$8))</f>
        <v/>
      </c>
    </row>
    <row r="51">
      <c r="A51" s="10" t="n">
        <v>50</v>
      </c>
      <c r="B51" s="11" t="inlineStr">
        <is>
          <t>الأمان المنزلي</t>
        </is>
      </c>
      <c r="C51" s="11" t="inlineStr">
        <is>
          <t>قفل أطفال للثلاجة</t>
        </is>
      </c>
      <c r="D51" s="11" t="inlineStr">
        <is>
          <t>fridge child lock</t>
        </is>
      </c>
      <c r="E51" s="12" t="n">
        <v>25</v>
      </c>
      <c r="F51" s="10" t="inlineStr">
        <is>
          <t>تقدير</t>
        </is>
      </c>
      <c r="G51" s="10" t="inlineStr">
        <is>
          <t>تقدير</t>
        </is>
      </c>
      <c r="H51" s="10" t="inlineStr">
        <is>
          <t>لم تُفحص</t>
        </is>
      </c>
      <c r="I51" s="10" t="inlineStr">
        <is>
          <t>لم يُفحص</t>
        </is>
      </c>
      <c r="J51" s="13" t="n">
        <v>1</v>
      </c>
      <c r="K51" s="11" t="inlineStr">
        <is>
          <t>تقدير</t>
        </is>
      </c>
      <c r="L51" s="14" t="n">
        <v>0.1</v>
      </c>
      <c r="M51" s="10" t="inlineStr">
        <is>
          <t>صغير</t>
        </is>
      </c>
      <c r="N51" s="11" t="inlineStr">
        <is>
          <t>طوال السنة</t>
        </is>
      </c>
      <c r="O51" s="11" t="inlineStr">
        <is>
          <t>لا</t>
        </is>
      </c>
      <c r="P51" s="15" t="n">
        <v>0.14</v>
      </c>
      <c r="Q51" s="14" t="n">
        <v>6</v>
      </c>
      <c r="R51" s="14" t="n">
        <v>50</v>
      </c>
      <c r="S51" s="16">
        <f>J51*'الافتراضات'!$B$2*(1+'الافتراضات'!$B$3)</f>
        <v/>
      </c>
      <c r="T51" s="16">
        <f>L51*'الافتراضات'!$B$4</f>
        <v/>
      </c>
      <c r="U51" s="16">
        <f>(S51+T51)*'الافتراضات'!$B$5</f>
        <v/>
      </c>
      <c r="V51" s="16">
        <f>S51+T51+U51</f>
        <v/>
      </c>
      <c r="W51" s="16">
        <f>MAX(1,E51*P51)</f>
        <v/>
      </c>
      <c r="X51" s="16">
        <f>E51*'الافتراضات'!$B$7</f>
        <v/>
      </c>
      <c r="Y51" s="16">
        <f>E51*'الافتراضات'!$B$8</f>
        <v/>
      </c>
      <c r="Z51" s="16">
        <f>E51/(1+'الافتراضات'!$B$6)</f>
        <v/>
      </c>
      <c r="AA51" s="16">
        <f>Z51-V51-W51-Q51-X51-Y51</f>
        <v/>
      </c>
      <c r="AB51" s="17">
        <f>IF(Z51=0,0,AA51/Z51)</f>
        <v/>
      </c>
      <c r="AC51" s="17">
        <f>IF(V51=0,0,AA51/V51)</f>
        <v/>
      </c>
      <c r="AD51" s="18">
        <f>R51*V51</f>
        <v/>
      </c>
      <c r="AE51" s="16">
        <f>IF(AB51&gt;='الافتراضات'!$B$9,IF(O51="لا","ابدأ به","جيد – يحتاج شهادة"),IF(AB51&gt;='الافتراضات'!$B$10,"مقبول","ضعيف"))</f>
        <v/>
      </c>
      <c r="AF51" s="16">
        <f>IF((1-'الافتراضات'!$B$9)/(1+'الافتراضات'!$B$6)-P51-'الافتراضات'!$B$7-'الافتراضات'!$B$8&lt;=0,0,(V51+Q51)/((1-'الافتراضات'!$B$9)/(1+'الافتراضات'!$B$6)-P51-'الافتراضات'!$B$7-'الافتراضات'!$B$8))</f>
        <v/>
      </c>
    </row>
    <row r="52">
      <c r="A52" s="10" t="n">
        <v>51</v>
      </c>
      <c r="B52" s="11" t="inlineStr">
        <is>
          <t>إكسسوارات الجوال والإلكترونيات</t>
        </is>
      </c>
      <c r="C52" s="11" t="inlineStr">
        <is>
          <t>مقبض مفتاح USB-C</t>
        </is>
      </c>
      <c r="D52" s="11" t="inlineStr">
        <is>
          <t>usb c magnetic adapter</t>
        </is>
      </c>
      <c r="E52" s="12" t="n">
        <v>25</v>
      </c>
      <c r="F52" s="10" t="inlineStr">
        <is>
          <t>تقدير</t>
        </is>
      </c>
      <c r="G52" s="10" t="inlineStr">
        <is>
          <t>تقدير</t>
        </is>
      </c>
      <c r="H52" s="10" t="inlineStr">
        <is>
          <t>لم تُفحص</t>
        </is>
      </c>
      <c r="I52" s="10" t="inlineStr">
        <is>
          <t>لم يُفحص</t>
        </is>
      </c>
      <c r="J52" s="13" t="n">
        <v>0.8</v>
      </c>
      <c r="K52" s="11" t="inlineStr">
        <is>
          <t>تقدير</t>
        </is>
      </c>
      <c r="L52" s="14" t="n">
        <v>0.03</v>
      </c>
      <c r="M52" s="10" t="inlineStr">
        <is>
          <t>صغير</t>
        </is>
      </c>
      <c r="N52" s="11" t="inlineStr">
        <is>
          <t>طوال السنة</t>
        </is>
      </c>
      <c r="O52" s="11" t="inlineStr">
        <is>
          <t>لا</t>
        </is>
      </c>
      <c r="P52" s="15" t="n">
        <v>0.2</v>
      </c>
      <c r="Q52" s="14" t="n">
        <v>6</v>
      </c>
      <c r="R52" s="14" t="n">
        <v>50</v>
      </c>
      <c r="S52" s="16">
        <f>J52*'الافتراضات'!$B$2*(1+'الافتراضات'!$B$3)</f>
        <v/>
      </c>
      <c r="T52" s="16">
        <f>L52*'الافتراضات'!$B$4</f>
        <v/>
      </c>
      <c r="U52" s="16">
        <f>(S52+T52)*'الافتراضات'!$B$5</f>
        <v/>
      </c>
      <c r="V52" s="16">
        <f>S52+T52+U52</f>
        <v/>
      </c>
      <c r="W52" s="16">
        <f>MAX(1,E52*P52)</f>
        <v/>
      </c>
      <c r="X52" s="16">
        <f>E52*'الافتراضات'!$B$7</f>
        <v/>
      </c>
      <c r="Y52" s="16">
        <f>E52*'الافتراضات'!$B$8</f>
        <v/>
      </c>
      <c r="Z52" s="16">
        <f>E52/(1+'الافتراضات'!$B$6)</f>
        <v/>
      </c>
      <c r="AA52" s="16">
        <f>Z52-V52-W52-Q52-X52-Y52</f>
        <v/>
      </c>
      <c r="AB52" s="17">
        <f>IF(Z52=0,0,AA52/Z52)</f>
        <v/>
      </c>
      <c r="AC52" s="17">
        <f>IF(V52=0,0,AA52/V52)</f>
        <v/>
      </c>
      <c r="AD52" s="18">
        <f>R52*V52</f>
        <v/>
      </c>
      <c r="AE52" s="16">
        <f>IF(AB52&gt;='الافتراضات'!$B$9,IF(O52="لا","ابدأ به","جيد – يحتاج شهادة"),IF(AB52&gt;='الافتراضات'!$B$10,"مقبول","ضعيف"))</f>
        <v/>
      </c>
      <c r="AF52" s="16">
        <f>IF((1-'الافتراضات'!$B$9)/(1+'الافتراضات'!$B$6)-P52-'الافتراضات'!$B$7-'الافتراضات'!$B$8&lt;=0,0,(V52+Q52)/((1-'الافتراضات'!$B$9)/(1+'الافتراضات'!$B$6)-P52-'الافتراضات'!$B$7-'الافتراضات'!$B$8))</f>
        <v/>
      </c>
    </row>
    <row r="53">
      <c r="A53" s="10" t="n">
        <v>52</v>
      </c>
      <c r="B53" s="11" t="inlineStr">
        <is>
          <t>السيارات والدراجات</t>
        </is>
      </c>
      <c r="C53" s="11" t="inlineStr">
        <is>
          <t>كاميرا داش أمامية وخلفية</t>
        </is>
      </c>
      <c r="D53" s="11" t="inlineStr">
        <is>
          <t>dash cam front and rear</t>
        </is>
      </c>
      <c r="E53" s="12" t="n">
        <v>215</v>
      </c>
      <c r="F53" s="10" t="inlineStr">
        <is>
          <t>تقدير</t>
        </is>
      </c>
      <c r="G53" s="10" t="inlineStr">
        <is>
          <t>تقدير</t>
        </is>
      </c>
      <c r="H53" s="10" t="inlineStr">
        <is>
          <t>لم تُفحص</t>
        </is>
      </c>
      <c r="I53" s="10" t="inlineStr">
        <is>
          <t>لم يُفحص</t>
        </is>
      </c>
      <c r="J53" s="13" t="n">
        <v>19</v>
      </c>
      <c r="K53" s="11" t="inlineStr">
        <is>
          <t>تقدير</t>
        </is>
      </c>
      <c r="L53" s="14" t="n">
        <v>0.5</v>
      </c>
      <c r="M53" s="10" t="inlineStr">
        <is>
          <t>صغير</t>
        </is>
      </c>
      <c r="N53" s="11" t="inlineStr">
        <is>
          <t>طوال السنة</t>
        </is>
      </c>
      <c r="O53" s="11" t="inlineStr">
        <is>
          <t>SABER + بطارية ليثيوم</t>
        </is>
      </c>
      <c r="P53" s="15" t="n">
        <v>0.15</v>
      </c>
      <c r="Q53" s="14" t="n">
        <v>9.5</v>
      </c>
      <c r="R53" s="14" t="n">
        <v>50</v>
      </c>
      <c r="S53" s="16">
        <f>J53*'الافتراضات'!$B$2*(1+'الافتراضات'!$B$3)</f>
        <v/>
      </c>
      <c r="T53" s="16">
        <f>L53*'الافتراضات'!$B$4</f>
        <v/>
      </c>
      <c r="U53" s="16">
        <f>(S53+T53)*'الافتراضات'!$B$5</f>
        <v/>
      </c>
      <c r="V53" s="16">
        <f>S53+T53+U53</f>
        <v/>
      </c>
      <c r="W53" s="16">
        <f>MAX(1,E53*P53)</f>
        <v/>
      </c>
      <c r="X53" s="16">
        <f>E53*'الافتراضات'!$B$7</f>
        <v/>
      </c>
      <c r="Y53" s="16">
        <f>E53*'الافتراضات'!$B$8</f>
        <v/>
      </c>
      <c r="Z53" s="16">
        <f>E53/(1+'الافتراضات'!$B$6)</f>
        <v/>
      </c>
      <c r="AA53" s="16">
        <f>Z53-V53-W53-Q53-X53-Y53</f>
        <v/>
      </c>
      <c r="AB53" s="17">
        <f>IF(Z53=0,0,AA53/Z53)</f>
        <v/>
      </c>
      <c r="AC53" s="17">
        <f>IF(V53=0,0,AA53/V53)</f>
        <v/>
      </c>
      <c r="AD53" s="18">
        <f>R53*V53</f>
        <v/>
      </c>
      <c r="AE53" s="16">
        <f>IF(AB53&gt;='الافتراضات'!$B$9,IF(O53="لا","ابدأ به","جيد – يحتاج شهادة"),IF(AB53&gt;='الافتراضات'!$B$10,"مقبول","ضعيف"))</f>
        <v/>
      </c>
      <c r="AF53" s="16">
        <f>IF((1-'الافتراضات'!$B$9)/(1+'الافتراضات'!$B$6)-P53-'الافتراضات'!$B$7-'الافتراضات'!$B$8&lt;=0,0,(V53+Q53)/((1-'الافتراضات'!$B$9)/(1+'الافتراضات'!$B$6)-P53-'الافتراضات'!$B$7-'الافتراضات'!$B$8))</f>
        <v/>
      </c>
    </row>
    <row r="54">
      <c r="A54" s="10" t="n">
        <v>53</v>
      </c>
      <c r="B54" s="11" t="inlineStr">
        <is>
          <t>الأمان المنزلي</t>
        </is>
      </c>
      <c r="C54" s="11" t="inlineStr">
        <is>
          <t>كاميرا مراقبة خارجية بالطاقة الشمسية</t>
        </is>
      </c>
      <c r="D54" s="11" t="inlineStr">
        <is>
          <t>solar outdoor security camera</t>
        </is>
      </c>
      <c r="E54" s="12" t="n">
        <v>226</v>
      </c>
      <c r="F54" s="10" t="inlineStr">
        <is>
          <t>تقدير</t>
        </is>
      </c>
      <c r="G54" s="10" t="inlineStr">
        <is>
          <t>تقدير</t>
        </is>
      </c>
      <c r="H54" s="10" t="inlineStr">
        <is>
          <t>لم تُفحص</t>
        </is>
      </c>
      <c r="I54" s="10" t="inlineStr">
        <is>
          <t>لم يُفحص</t>
        </is>
      </c>
      <c r="J54" s="13" t="n">
        <v>20</v>
      </c>
      <c r="K54" s="11" t="inlineStr">
        <is>
          <t>تقدير</t>
        </is>
      </c>
      <c r="L54" s="14" t="n">
        <v>0.8</v>
      </c>
      <c r="M54" s="10" t="inlineStr">
        <is>
          <t>متوسط</t>
        </is>
      </c>
      <c r="N54" s="11" t="inlineStr">
        <is>
          <t>طوال السنة</t>
        </is>
      </c>
      <c r="O54" s="11" t="inlineStr">
        <is>
          <t>SABER + بطارية ليثيوم</t>
        </is>
      </c>
      <c r="P54" s="15" t="n">
        <v>0.14</v>
      </c>
      <c r="Q54" s="14" t="n">
        <v>10</v>
      </c>
      <c r="R54" s="14" t="n">
        <v>50</v>
      </c>
      <c r="S54" s="16">
        <f>J54*'الافتراضات'!$B$2*(1+'الافتراضات'!$B$3)</f>
        <v/>
      </c>
      <c r="T54" s="16">
        <f>L54*'الافتراضات'!$B$4</f>
        <v/>
      </c>
      <c r="U54" s="16">
        <f>(S54+T54)*'الافتراضات'!$B$5</f>
        <v/>
      </c>
      <c r="V54" s="16">
        <f>S54+T54+U54</f>
        <v/>
      </c>
      <c r="W54" s="16">
        <f>MAX(1,E54*P54)</f>
        <v/>
      </c>
      <c r="X54" s="16">
        <f>E54*'الافتراضات'!$B$7</f>
        <v/>
      </c>
      <c r="Y54" s="16">
        <f>E54*'الافتراضات'!$B$8</f>
        <v/>
      </c>
      <c r="Z54" s="16">
        <f>E54/(1+'الافتراضات'!$B$6)</f>
        <v/>
      </c>
      <c r="AA54" s="16">
        <f>Z54-V54-W54-Q54-X54-Y54</f>
        <v/>
      </c>
      <c r="AB54" s="17">
        <f>IF(Z54=0,0,AA54/Z54)</f>
        <v/>
      </c>
      <c r="AC54" s="17">
        <f>IF(V54=0,0,AA54/V54)</f>
        <v/>
      </c>
      <c r="AD54" s="18">
        <f>R54*V54</f>
        <v/>
      </c>
      <c r="AE54" s="16">
        <f>IF(AB54&gt;='الافتراضات'!$B$9,IF(O54="لا","ابدأ به","جيد – يحتاج شهادة"),IF(AB54&gt;='الافتراضات'!$B$10,"مقبول","ضعيف"))</f>
        <v/>
      </c>
      <c r="AF54" s="16">
        <f>IF((1-'الافتراضات'!$B$9)/(1+'الافتراضات'!$B$6)-P54-'الافتراضات'!$B$7-'الافتراضات'!$B$8&lt;=0,0,(V54+Q54)/((1-'الافتراضات'!$B$9)/(1+'الافتراضات'!$B$6)-P54-'الافتراضات'!$B$7-'الافتراضات'!$B$8))</f>
        <v/>
      </c>
    </row>
    <row r="55">
      <c r="A55" s="10" t="n">
        <v>54</v>
      </c>
      <c r="B55" s="11" t="inlineStr">
        <is>
          <t>التنظيف والغسيل</t>
        </is>
      </c>
      <c r="C55" s="11" t="inlineStr">
        <is>
          <t>مكنسة كهربائية لاسلكية</t>
        </is>
      </c>
      <c r="D55" s="11" t="inlineStr">
        <is>
          <t>cordless stick vacuum cleaner</t>
        </is>
      </c>
      <c r="E55" s="12" t="n">
        <v>317</v>
      </c>
      <c r="F55" s="10" t="inlineStr">
        <is>
          <t>تقدير</t>
        </is>
      </c>
      <c r="G55" s="10" t="inlineStr">
        <is>
          <t>تقدير</t>
        </is>
      </c>
      <c r="H55" s="10" t="inlineStr">
        <is>
          <t>لم تُفحص</t>
        </is>
      </c>
      <c r="I55" s="10" t="inlineStr">
        <is>
          <t>لم يُفحص</t>
        </is>
      </c>
      <c r="J55" s="13" t="n">
        <v>28</v>
      </c>
      <c r="K55" s="11" t="inlineStr">
        <is>
          <t>تقدير</t>
        </is>
      </c>
      <c r="L55" s="14" t="n">
        <v>2.5</v>
      </c>
      <c r="M55" s="10" t="inlineStr">
        <is>
          <t>كبير</t>
        </is>
      </c>
      <c r="N55" s="11" t="inlineStr">
        <is>
          <t>طوال السنة</t>
        </is>
      </c>
      <c r="O55" s="11" t="inlineStr">
        <is>
          <t>SABER + بطارية ليثيوم</t>
        </is>
      </c>
      <c r="P55" s="15" t="n">
        <v>0.1</v>
      </c>
      <c r="Q55" s="14" t="n">
        <v>16</v>
      </c>
      <c r="R55" s="14" t="n">
        <v>50</v>
      </c>
      <c r="S55" s="16">
        <f>J55*'الافتراضات'!$B$2*(1+'الافتراضات'!$B$3)</f>
        <v/>
      </c>
      <c r="T55" s="16">
        <f>L55*'الافتراضات'!$B$4</f>
        <v/>
      </c>
      <c r="U55" s="16">
        <f>(S55+T55)*'الافتراضات'!$B$5</f>
        <v/>
      </c>
      <c r="V55" s="16">
        <f>S55+T55+U55</f>
        <v/>
      </c>
      <c r="W55" s="16">
        <f>MAX(1,E55*P55)</f>
        <v/>
      </c>
      <c r="X55" s="16">
        <f>E55*'الافتراضات'!$B$7</f>
        <v/>
      </c>
      <c r="Y55" s="16">
        <f>E55*'الافتراضات'!$B$8</f>
        <v/>
      </c>
      <c r="Z55" s="16">
        <f>E55/(1+'الافتراضات'!$B$6)</f>
        <v/>
      </c>
      <c r="AA55" s="16">
        <f>Z55-V55-W55-Q55-X55-Y55</f>
        <v/>
      </c>
      <c r="AB55" s="17">
        <f>IF(Z55=0,0,AA55/Z55)</f>
        <v/>
      </c>
      <c r="AC55" s="17">
        <f>IF(V55=0,0,AA55/V55)</f>
        <v/>
      </c>
      <c r="AD55" s="18">
        <f>R55*V55</f>
        <v/>
      </c>
      <c r="AE55" s="16">
        <f>IF(AB55&gt;='الافتراضات'!$B$9,IF(O55="لا","ابدأ به","جيد – يحتاج شهادة"),IF(AB55&gt;='الافتراضات'!$B$10,"مقبول","ضعيف"))</f>
        <v/>
      </c>
      <c r="AF55" s="16">
        <f>IF((1-'الافتراضات'!$B$9)/(1+'الافتراضات'!$B$6)-P55-'الافتراضات'!$B$7-'الافتراضات'!$B$8&lt;=0,0,(V55+Q55)/((1-'الافتراضات'!$B$9)/(1+'الافتراضات'!$B$6)-P55-'الافتراضات'!$B$7-'الافتراضات'!$B$8))</f>
        <v/>
      </c>
    </row>
    <row r="56">
      <c r="A56" s="10" t="n">
        <v>55</v>
      </c>
      <c r="B56" s="11" t="inlineStr">
        <is>
          <t>إكسسوارات الجوال والإلكترونيات</t>
        </is>
      </c>
      <c r="C56" s="11" t="inlineStr">
        <is>
          <t>حبل جوال بحزام للرقبة</t>
        </is>
      </c>
      <c r="D56" s="11" t="inlineStr">
        <is>
          <t>phone lanyard crossbody</t>
        </is>
      </c>
      <c r="E56" s="12" t="n">
        <v>25</v>
      </c>
      <c r="F56" s="10" t="inlineStr">
        <is>
          <t>تقدير</t>
        </is>
      </c>
      <c r="G56" s="10" t="inlineStr">
        <is>
          <t>تقدير</t>
        </is>
      </c>
      <c r="H56" s="10" t="inlineStr">
        <is>
          <t>لم تُفحص</t>
        </is>
      </c>
      <c r="I56" s="10" t="inlineStr">
        <is>
          <t>لم يُفحص</t>
        </is>
      </c>
      <c r="J56" s="13" t="n">
        <v>0.8</v>
      </c>
      <c r="K56" s="11" t="inlineStr">
        <is>
          <t>تقدير</t>
        </is>
      </c>
      <c r="L56" s="14" t="n">
        <v>0.05</v>
      </c>
      <c r="M56" s="10" t="inlineStr">
        <is>
          <t>صغير</t>
        </is>
      </c>
      <c r="N56" s="11" t="inlineStr">
        <is>
          <t>طوال السنة</t>
        </is>
      </c>
      <c r="O56" s="11" t="inlineStr">
        <is>
          <t>لا</t>
        </is>
      </c>
      <c r="P56" s="15" t="n">
        <v>0.2</v>
      </c>
      <c r="Q56" s="14" t="n">
        <v>6</v>
      </c>
      <c r="R56" s="14" t="n">
        <v>50</v>
      </c>
      <c r="S56" s="16">
        <f>J56*'الافتراضات'!$B$2*(1+'الافتراضات'!$B$3)</f>
        <v/>
      </c>
      <c r="T56" s="16">
        <f>L56*'الافتراضات'!$B$4</f>
        <v/>
      </c>
      <c r="U56" s="16">
        <f>(S56+T56)*'الافتراضات'!$B$5</f>
        <v/>
      </c>
      <c r="V56" s="16">
        <f>S56+T56+U56</f>
        <v/>
      </c>
      <c r="W56" s="16">
        <f>MAX(1,E56*P56)</f>
        <v/>
      </c>
      <c r="X56" s="16">
        <f>E56*'الافتراضات'!$B$7</f>
        <v/>
      </c>
      <c r="Y56" s="16">
        <f>E56*'الافتراضات'!$B$8</f>
        <v/>
      </c>
      <c r="Z56" s="16">
        <f>E56/(1+'الافتراضات'!$B$6)</f>
        <v/>
      </c>
      <c r="AA56" s="16">
        <f>Z56-V56-W56-Q56-X56-Y56</f>
        <v/>
      </c>
      <c r="AB56" s="17">
        <f>IF(Z56=0,0,AA56/Z56)</f>
        <v/>
      </c>
      <c r="AC56" s="17">
        <f>IF(V56=0,0,AA56/V56)</f>
        <v/>
      </c>
      <c r="AD56" s="18">
        <f>R56*V56</f>
        <v/>
      </c>
      <c r="AE56" s="16">
        <f>IF(AB56&gt;='الافتراضات'!$B$9,IF(O56="لا","ابدأ به","جيد – يحتاج شهادة"),IF(AB56&gt;='الافتراضات'!$B$10,"مقبول","ضعيف"))</f>
        <v/>
      </c>
      <c r="AF56" s="16">
        <f>IF((1-'الافتراضات'!$B$9)/(1+'الافتراضات'!$B$6)-P56-'الافتراضات'!$B$7-'الافتراضات'!$B$8&lt;=0,0,(V56+Q56)/((1-'الافتراضات'!$B$9)/(1+'الافتراضات'!$B$6)-P56-'الافتراضات'!$B$7-'الافتراضات'!$B$8))</f>
        <v/>
      </c>
    </row>
    <row r="57">
      <c r="A57" s="10" t="n">
        <v>56</v>
      </c>
      <c r="B57" s="11" t="inlineStr">
        <is>
          <t>المكتب والدراسة</t>
        </is>
      </c>
      <c r="C57" s="11" t="inlineStr">
        <is>
          <t>حامل بطاقات مكتبي</t>
        </is>
      </c>
      <c r="D57" s="11" t="inlineStr">
        <is>
          <t>business card holder</t>
        </is>
      </c>
      <c r="E57" s="12" t="n">
        <v>25</v>
      </c>
      <c r="F57" s="10" t="inlineStr">
        <is>
          <t>تقدير</t>
        </is>
      </c>
      <c r="G57" s="10" t="inlineStr">
        <is>
          <t>تقدير</t>
        </is>
      </c>
      <c r="H57" s="10" t="inlineStr">
        <is>
          <t>لم تُفحص</t>
        </is>
      </c>
      <c r="I57" s="10" t="inlineStr">
        <is>
          <t>لم يُفحص</t>
        </is>
      </c>
      <c r="J57" s="13" t="n">
        <v>1.2</v>
      </c>
      <c r="K57" s="11" t="inlineStr">
        <is>
          <t>تقدير</t>
        </is>
      </c>
      <c r="L57" s="14" t="n">
        <v>0.1</v>
      </c>
      <c r="M57" s="10" t="inlineStr">
        <is>
          <t>صغير</t>
        </is>
      </c>
      <c r="N57" s="11" t="inlineStr">
        <is>
          <t>طوال السنة</t>
        </is>
      </c>
      <c r="O57" s="11" t="inlineStr">
        <is>
          <t>لا</t>
        </is>
      </c>
      <c r="P57" s="15" t="n">
        <v>0.12</v>
      </c>
      <c r="Q57" s="14" t="n">
        <v>6</v>
      </c>
      <c r="R57" s="14" t="n">
        <v>50</v>
      </c>
      <c r="S57" s="16">
        <f>J57*'الافتراضات'!$B$2*(1+'الافتراضات'!$B$3)</f>
        <v/>
      </c>
      <c r="T57" s="16">
        <f>L57*'الافتراضات'!$B$4</f>
        <v/>
      </c>
      <c r="U57" s="16">
        <f>(S57+T57)*'الافتراضات'!$B$5</f>
        <v/>
      </c>
      <c r="V57" s="16">
        <f>S57+T57+U57</f>
        <v/>
      </c>
      <c r="W57" s="16">
        <f>MAX(1,E57*P57)</f>
        <v/>
      </c>
      <c r="X57" s="16">
        <f>E57*'الافتراضات'!$B$7</f>
        <v/>
      </c>
      <c r="Y57" s="16">
        <f>E57*'الافتراضات'!$B$8</f>
        <v/>
      </c>
      <c r="Z57" s="16">
        <f>E57/(1+'الافتراضات'!$B$6)</f>
        <v/>
      </c>
      <c r="AA57" s="16">
        <f>Z57-V57-W57-Q57-X57-Y57</f>
        <v/>
      </c>
      <c r="AB57" s="17">
        <f>IF(Z57=0,0,AA57/Z57)</f>
        <v/>
      </c>
      <c r="AC57" s="17">
        <f>IF(V57=0,0,AA57/V57)</f>
        <v/>
      </c>
      <c r="AD57" s="18">
        <f>R57*V57</f>
        <v/>
      </c>
      <c r="AE57" s="16">
        <f>IF(AB57&gt;='الافتراضات'!$B$9,IF(O57="لا","ابدأ به","جيد – يحتاج شهادة"),IF(AB57&gt;='الافتراضات'!$B$10,"مقبول","ضعيف"))</f>
        <v/>
      </c>
      <c r="AF57" s="16">
        <f>IF((1-'الافتراضات'!$B$9)/(1+'الافتراضات'!$B$6)-P57-'الافتراضات'!$B$7-'الافتراضات'!$B$8&lt;=0,0,(V57+Q57)/((1-'الافتراضات'!$B$9)/(1+'الافتراضات'!$B$6)-P57-'الافتراضات'!$B$7-'الافتراضات'!$B$8))</f>
        <v/>
      </c>
    </row>
    <row r="58">
      <c r="A58" s="10" t="n">
        <v>57</v>
      </c>
      <c r="B58" s="11" t="inlineStr">
        <is>
          <t>المكتب والدراسة</t>
        </is>
      </c>
      <c r="C58" s="11" t="inlineStr">
        <is>
          <t>ختم تاريخ</t>
        </is>
      </c>
      <c r="D58" s="11" t="inlineStr">
        <is>
          <t>date stamp self inking</t>
        </is>
      </c>
      <c r="E58" s="12" t="n">
        <v>25</v>
      </c>
      <c r="F58" s="10" t="inlineStr">
        <is>
          <t>تقدير</t>
        </is>
      </c>
      <c r="G58" s="10" t="inlineStr">
        <is>
          <t>تقدير</t>
        </is>
      </c>
      <c r="H58" s="10" t="inlineStr">
        <is>
          <t>لم تُفحص</t>
        </is>
      </c>
      <c r="I58" s="10" t="inlineStr">
        <is>
          <t>لم يُفحص</t>
        </is>
      </c>
      <c r="J58" s="13" t="n">
        <v>1.2</v>
      </c>
      <c r="K58" s="11" t="inlineStr">
        <is>
          <t>تقدير</t>
        </is>
      </c>
      <c r="L58" s="14" t="n">
        <v>0.1</v>
      </c>
      <c r="M58" s="10" t="inlineStr">
        <is>
          <t>صغير</t>
        </is>
      </c>
      <c r="N58" s="11" t="inlineStr">
        <is>
          <t>طوال السنة</t>
        </is>
      </c>
      <c r="O58" s="11" t="inlineStr">
        <is>
          <t>لا</t>
        </is>
      </c>
      <c r="P58" s="15" t="n">
        <v>0.12</v>
      </c>
      <c r="Q58" s="14" t="n">
        <v>6</v>
      </c>
      <c r="R58" s="14" t="n">
        <v>50</v>
      </c>
      <c r="S58" s="16">
        <f>J58*'الافتراضات'!$B$2*(1+'الافتراضات'!$B$3)</f>
        <v/>
      </c>
      <c r="T58" s="16">
        <f>L58*'الافتراضات'!$B$4</f>
        <v/>
      </c>
      <c r="U58" s="16">
        <f>(S58+T58)*'الافتراضات'!$B$5</f>
        <v/>
      </c>
      <c r="V58" s="16">
        <f>S58+T58+U58</f>
        <v/>
      </c>
      <c r="W58" s="16">
        <f>MAX(1,E58*P58)</f>
        <v/>
      </c>
      <c r="X58" s="16">
        <f>E58*'الافتراضات'!$B$7</f>
        <v/>
      </c>
      <c r="Y58" s="16">
        <f>E58*'الافتراضات'!$B$8</f>
        <v/>
      </c>
      <c r="Z58" s="16">
        <f>E58/(1+'الافتراضات'!$B$6)</f>
        <v/>
      </c>
      <c r="AA58" s="16">
        <f>Z58-V58-W58-Q58-X58-Y58</f>
        <v/>
      </c>
      <c r="AB58" s="17">
        <f>IF(Z58=0,0,AA58/Z58)</f>
        <v/>
      </c>
      <c r="AC58" s="17">
        <f>IF(V58=0,0,AA58/V58)</f>
        <v/>
      </c>
      <c r="AD58" s="18">
        <f>R58*V58</f>
        <v/>
      </c>
      <c r="AE58" s="16">
        <f>IF(AB58&gt;='الافتراضات'!$B$9,IF(O58="لا","ابدأ به","جيد – يحتاج شهادة"),IF(AB58&gt;='الافتراضات'!$B$10,"مقبول","ضعيف"))</f>
        <v/>
      </c>
      <c r="AF58" s="16">
        <f>IF((1-'الافتراضات'!$B$9)/(1+'الافتراضات'!$B$6)-P58-'الافتراضات'!$B$7-'الافتراضات'!$B$8&lt;=0,0,(V58+Q58)/((1-'الافتراضات'!$B$9)/(1+'الافتراضات'!$B$6)-P58-'الافتراضات'!$B$7-'الافتراضات'!$B$8))</f>
        <v/>
      </c>
    </row>
    <row r="59">
      <c r="A59" s="10" t="n">
        <v>58</v>
      </c>
      <c r="B59" s="11" t="inlineStr">
        <is>
          <t>المكتب والدراسة</t>
        </is>
      </c>
      <c r="C59" s="11" t="inlineStr">
        <is>
          <t>طابعة ملصقات حرارية</t>
        </is>
      </c>
      <c r="D59" s="11" t="inlineStr">
        <is>
          <t>label maker bluetooth</t>
        </is>
      </c>
      <c r="E59" s="12" t="n">
        <v>136</v>
      </c>
      <c r="F59" s="10" t="inlineStr">
        <is>
          <t>تقدير</t>
        </is>
      </c>
      <c r="G59" s="10" t="inlineStr">
        <is>
          <t>تقدير</t>
        </is>
      </c>
      <c r="H59" s="10" t="inlineStr">
        <is>
          <t>لم تُفحص</t>
        </is>
      </c>
      <c r="I59" s="10" t="inlineStr">
        <is>
          <t>لم يُفحص</t>
        </is>
      </c>
      <c r="J59" s="13" t="n">
        <v>12</v>
      </c>
      <c r="K59" s="11" t="inlineStr">
        <is>
          <t>تقدير</t>
        </is>
      </c>
      <c r="L59" s="14" t="n">
        <v>0.4</v>
      </c>
      <c r="M59" s="10" t="inlineStr">
        <is>
          <t>صغير</t>
        </is>
      </c>
      <c r="N59" s="11" t="inlineStr">
        <is>
          <t>طوال السنة</t>
        </is>
      </c>
      <c r="O59" s="11" t="inlineStr">
        <is>
          <t>SABER + بطارية ليثيوم</t>
        </is>
      </c>
      <c r="P59" s="15" t="n">
        <v>0.13</v>
      </c>
      <c r="Q59" s="14" t="n">
        <v>9.5</v>
      </c>
      <c r="R59" s="14" t="n">
        <v>50</v>
      </c>
      <c r="S59" s="16">
        <f>J59*'الافتراضات'!$B$2*(1+'الافتراضات'!$B$3)</f>
        <v/>
      </c>
      <c r="T59" s="16">
        <f>L59*'الافتراضات'!$B$4</f>
        <v/>
      </c>
      <c r="U59" s="16">
        <f>(S59+T59)*'الافتراضات'!$B$5</f>
        <v/>
      </c>
      <c r="V59" s="16">
        <f>S59+T59+U59</f>
        <v/>
      </c>
      <c r="W59" s="16">
        <f>MAX(1,E59*P59)</f>
        <v/>
      </c>
      <c r="X59" s="16">
        <f>E59*'الافتراضات'!$B$7</f>
        <v/>
      </c>
      <c r="Y59" s="16">
        <f>E59*'الافتراضات'!$B$8</f>
        <v/>
      </c>
      <c r="Z59" s="16">
        <f>E59/(1+'الافتراضات'!$B$6)</f>
        <v/>
      </c>
      <c r="AA59" s="16">
        <f>Z59-V59-W59-Q59-X59-Y59</f>
        <v/>
      </c>
      <c r="AB59" s="17">
        <f>IF(Z59=0,0,AA59/Z59)</f>
        <v/>
      </c>
      <c r="AC59" s="17">
        <f>IF(V59=0,0,AA59/V59)</f>
        <v/>
      </c>
      <c r="AD59" s="18">
        <f>R59*V59</f>
        <v/>
      </c>
      <c r="AE59" s="16">
        <f>IF(AB59&gt;='الافتراضات'!$B$9,IF(O59="لا","ابدأ به","جيد – يحتاج شهادة"),IF(AB59&gt;='الافتراضات'!$B$10,"مقبول","ضعيف"))</f>
        <v/>
      </c>
      <c r="AF59" s="16">
        <f>IF((1-'الافتراضات'!$B$9)/(1+'الافتراضات'!$B$6)-P59-'الافتراضات'!$B$7-'الافتراضات'!$B$8&lt;=0,0,(V59+Q59)/((1-'الافتراضات'!$B$9)/(1+'الافتراضات'!$B$6)-P59-'الافتراضات'!$B$7-'الافتراضات'!$B$8))</f>
        <v/>
      </c>
    </row>
    <row r="60">
      <c r="A60" s="10" t="n">
        <v>59</v>
      </c>
      <c r="B60" s="11" t="inlineStr">
        <is>
          <t>السيارات والدراجات</t>
        </is>
      </c>
      <c r="C60" s="11" t="inlineStr">
        <is>
          <t>حشوة فراغ المقعد</t>
        </is>
      </c>
      <c r="D60" s="11" t="inlineStr">
        <is>
          <t>car seat gap filler</t>
        </is>
      </c>
      <c r="E60" s="12" t="n">
        <v>25</v>
      </c>
      <c r="F60" s="10" t="inlineStr">
        <is>
          <t>تقدير</t>
        </is>
      </c>
      <c r="G60" s="10" t="inlineStr">
        <is>
          <t>تقدير</t>
        </is>
      </c>
      <c r="H60" s="10" t="inlineStr">
        <is>
          <t>لم تُفحص</t>
        </is>
      </c>
      <c r="I60" s="10" t="inlineStr">
        <is>
          <t>لم يُفحص</t>
        </is>
      </c>
      <c r="J60" s="13" t="n">
        <v>1</v>
      </c>
      <c r="K60" s="11" t="inlineStr">
        <is>
          <t>تقدير</t>
        </is>
      </c>
      <c r="L60" s="14" t="n">
        <v>0.15</v>
      </c>
      <c r="M60" s="10" t="inlineStr">
        <is>
          <t>صغير</t>
        </is>
      </c>
      <c r="N60" s="11" t="inlineStr">
        <is>
          <t>طوال السنة</t>
        </is>
      </c>
      <c r="O60" s="11" t="inlineStr">
        <is>
          <t>لا</t>
        </is>
      </c>
      <c r="P60" s="15" t="n">
        <v>0.1</v>
      </c>
      <c r="Q60" s="14" t="n">
        <v>7</v>
      </c>
      <c r="R60" s="14" t="n">
        <v>50</v>
      </c>
      <c r="S60" s="16">
        <f>J60*'الافتراضات'!$B$2*(1+'الافتراضات'!$B$3)</f>
        <v/>
      </c>
      <c r="T60" s="16">
        <f>L60*'الافتراضات'!$B$4</f>
        <v/>
      </c>
      <c r="U60" s="16">
        <f>(S60+T60)*'الافتراضات'!$B$5</f>
        <v/>
      </c>
      <c r="V60" s="16">
        <f>S60+T60+U60</f>
        <v/>
      </c>
      <c r="W60" s="16">
        <f>MAX(1,E60*P60)</f>
        <v/>
      </c>
      <c r="X60" s="16">
        <f>E60*'الافتراضات'!$B$7</f>
        <v/>
      </c>
      <c r="Y60" s="16">
        <f>E60*'الافتراضات'!$B$8</f>
        <v/>
      </c>
      <c r="Z60" s="16">
        <f>E60/(1+'الافتراضات'!$B$6)</f>
        <v/>
      </c>
      <c r="AA60" s="16">
        <f>Z60-V60-W60-Q60-X60-Y60</f>
        <v/>
      </c>
      <c r="AB60" s="17">
        <f>IF(Z60=0,0,AA60/Z60)</f>
        <v/>
      </c>
      <c r="AC60" s="17">
        <f>IF(V60=0,0,AA60/V60)</f>
        <v/>
      </c>
      <c r="AD60" s="18">
        <f>R60*V60</f>
        <v/>
      </c>
      <c r="AE60" s="16">
        <f>IF(AB60&gt;='الافتراضات'!$B$9,IF(O60="لا","ابدأ به","جيد – يحتاج شهادة"),IF(AB60&gt;='الافتراضات'!$B$10,"مقبول","ضعيف"))</f>
        <v/>
      </c>
      <c r="AF60" s="16">
        <f>IF((1-'الافتراضات'!$B$9)/(1+'الافتراضات'!$B$6)-P60-'الافتراضات'!$B$7-'الافتراضات'!$B$8&lt;=0,0,(V60+Q60)/((1-'الافتراضات'!$B$9)/(1+'الافتراضات'!$B$6)-P60-'الافتراضات'!$B$7-'الافتراضات'!$B$8))</f>
        <v/>
      </c>
    </row>
    <row r="61">
      <c r="A61" s="10" t="n">
        <v>60</v>
      </c>
      <c r="B61" s="11" t="inlineStr">
        <is>
          <t>إكسسوارات الجوال والإلكترونيات</t>
        </is>
      </c>
      <c r="C61" s="11" t="inlineStr">
        <is>
          <t>كاميرا جرس باب ذكية</t>
        </is>
      </c>
      <c r="D61" s="11" t="inlineStr">
        <is>
          <t>smart video doorbell wifi</t>
        </is>
      </c>
      <c r="E61" s="12" t="n">
        <v>158</v>
      </c>
      <c r="F61" s="10" t="inlineStr">
        <is>
          <t>تقدير</t>
        </is>
      </c>
      <c r="G61" s="10" t="inlineStr">
        <is>
          <t>تقدير</t>
        </is>
      </c>
      <c r="H61" s="10" t="inlineStr">
        <is>
          <t>لم تُفحص</t>
        </is>
      </c>
      <c r="I61" s="10" t="inlineStr">
        <is>
          <t>لم يُفحص</t>
        </is>
      </c>
      <c r="J61" s="13" t="n">
        <v>14</v>
      </c>
      <c r="K61" s="11" t="inlineStr">
        <is>
          <t>تقدير</t>
        </is>
      </c>
      <c r="L61" s="14" t="n">
        <v>0.5</v>
      </c>
      <c r="M61" s="10" t="inlineStr">
        <is>
          <t>متوسط</t>
        </is>
      </c>
      <c r="N61" s="11" t="inlineStr">
        <is>
          <t>طوال السنة</t>
        </is>
      </c>
      <c r="O61" s="11" t="inlineStr">
        <is>
          <t>SABER + بطارية ليثيوم</t>
        </is>
      </c>
      <c r="P61" s="15" t="n">
        <v>0.14</v>
      </c>
      <c r="Q61" s="14" t="n">
        <v>9.5</v>
      </c>
      <c r="R61" s="14" t="n">
        <v>50</v>
      </c>
      <c r="S61" s="16">
        <f>J61*'الافتراضات'!$B$2*(1+'الافتراضات'!$B$3)</f>
        <v/>
      </c>
      <c r="T61" s="16">
        <f>L61*'الافتراضات'!$B$4</f>
        <v/>
      </c>
      <c r="U61" s="16">
        <f>(S61+T61)*'الافتراضات'!$B$5</f>
        <v/>
      </c>
      <c r="V61" s="16">
        <f>S61+T61+U61</f>
        <v/>
      </c>
      <c r="W61" s="16">
        <f>MAX(1,E61*P61)</f>
        <v/>
      </c>
      <c r="X61" s="16">
        <f>E61*'الافتراضات'!$B$7</f>
        <v/>
      </c>
      <c r="Y61" s="16">
        <f>E61*'الافتراضات'!$B$8</f>
        <v/>
      </c>
      <c r="Z61" s="16">
        <f>E61/(1+'الافتراضات'!$B$6)</f>
        <v/>
      </c>
      <c r="AA61" s="16">
        <f>Z61-V61-W61-Q61-X61-Y61</f>
        <v/>
      </c>
      <c r="AB61" s="17">
        <f>IF(Z61=0,0,AA61/Z61)</f>
        <v/>
      </c>
      <c r="AC61" s="17">
        <f>IF(V61=0,0,AA61/V61)</f>
        <v/>
      </c>
      <c r="AD61" s="18">
        <f>R61*V61</f>
        <v/>
      </c>
      <c r="AE61" s="16">
        <f>IF(AB61&gt;='الافتراضات'!$B$9,IF(O61="لا","ابدأ به","جيد – يحتاج شهادة"),IF(AB61&gt;='الافتراضات'!$B$10,"مقبول","ضعيف"))</f>
        <v/>
      </c>
      <c r="AF61" s="16">
        <f>IF((1-'الافتراضات'!$B$9)/(1+'الافتراضات'!$B$6)-P61-'الافتراضات'!$B$7-'الافتراضات'!$B$8&lt;=0,0,(V61+Q61)/((1-'الافتراضات'!$B$9)/(1+'الافتراضات'!$B$6)-P61-'الافتراضات'!$B$7-'الافتراضات'!$B$8))</f>
        <v/>
      </c>
    </row>
    <row r="62">
      <c r="A62" s="10" t="n">
        <v>61</v>
      </c>
      <c r="B62" s="11" t="inlineStr">
        <is>
          <t>إكسسوارات الجوال والإلكترونيات</t>
        </is>
      </c>
      <c r="C62" s="11" t="inlineStr">
        <is>
          <t>ميزان حرارة ورطوبة رقمي</t>
        </is>
      </c>
      <c r="D62" s="11" t="inlineStr">
        <is>
          <t>digital thermometer hygrometer</t>
        </is>
      </c>
      <c r="E62" s="12" t="n">
        <v>25</v>
      </c>
      <c r="F62" s="10" t="inlineStr">
        <is>
          <t>تقدير</t>
        </is>
      </c>
      <c r="G62" s="10" t="inlineStr">
        <is>
          <t>تقدير</t>
        </is>
      </c>
      <c r="H62" s="10" t="inlineStr">
        <is>
          <t>لم تُفحص</t>
        </is>
      </c>
      <c r="I62" s="10" t="inlineStr">
        <is>
          <t>لم يُفحص</t>
        </is>
      </c>
      <c r="J62" s="13" t="n">
        <v>1.2</v>
      </c>
      <c r="K62" s="11" t="inlineStr">
        <is>
          <t>تقدير</t>
        </is>
      </c>
      <c r="L62" s="14" t="n">
        <v>0.06</v>
      </c>
      <c r="M62" s="10" t="inlineStr">
        <is>
          <t>صغير</t>
        </is>
      </c>
      <c r="N62" s="11" t="inlineStr">
        <is>
          <t>طوال السنة</t>
        </is>
      </c>
      <c r="O62" s="11" t="inlineStr">
        <is>
          <t>SABER + بطارية ليثيوم</t>
        </is>
      </c>
      <c r="P62" s="15" t="n">
        <v>0.14</v>
      </c>
      <c r="Q62" s="14" t="n">
        <v>6</v>
      </c>
      <c r="R62" s="14" t="n">
        <v>50</v>
      </c>
      <c r="S62" s="16">
        <f>J62*'الافتراضات'!$B$2*(1+'الافتراضات'!$B$3)</f>
        <v/>
      </c>
      <c r="T62" s="16">
        <f>L62*'الافتراضات'!$B$4</f>
        <v/>
      </c>
      <c r="U62" s="16">
        <f>(S62+T62)*'الافتراضات'!$B$5</f>
        <v/>
      </c>
      <c r="V62" s="16">
        <f>S62+T62+U62</f>
        <v/>
      </c>
      <c r="W62" s="16">
        <f>MAX(1,E62*P62)</f>
        <v/>
      </c>
      <c r="X62" s="16">
        <f>E62*'الافتراضات'!$B$7</f>
        <v/>
      </c>
      <c r="Y62" s="16">
        <f>E62*'الافتراضات'!$B$8</f>
        <v/>
      </c>
      <c r="Z62" s="16">
        <f>E62/(1+'الافتراضات'!$B$6)</f>
        <v/>
      </c>
      <c r="AA62" s="16">
        <f>Z62-V62-W62-Q62-X62-Y62</f>
        <v/>
      </c>
      <c r="AB62" s="17">
        <f>IF(Z62=0,0,AA62/Z62)</f>
        <v/>
      </c>
      <c r="AC62" s="17">
        <f>IF(V62=0,0,AA62/V62)</f>
        <v/>
      </c>
      <c r="AD62" s="18">
        <f>R62*V62</f>
        <v/>
      </c>
      <c r="AE62" s="16">
        <f>IF(AB62&gt;='الافتراضات'!$B$9,IF(O62="لا","ابدأ به","جيد – يحتاج شهادة"),IF(AB62&gt;='الافتراضات'!$B$10,"مقبول","ضعيف"))</f>
        <v/>
      </c>
      <c r="AF62" s="16">
        <f>IF((1-'الافتراضات'!$B$9)/(1+'الافتراضات'!$B$6)-P62-'الافتراضات'!$B$7-'الافتراضات'!$B$8&lt;=0,0,(V62+Q62)/((1-'الافتراضات'!$B$9)/(1+'الافتراضات'!$B$6)-P62-'الافتراضات'!$B$7-'الافتراضات'!$B$8))</f>
        <v/>
      </c>
    </row>
    <row r="63">
      <c r="A63" s="10" t="n">
        <v>62</v>
      </c>
      <c r="B63" s="11" t="inlineStr">
        <is>
          <t>التخييم والسفر</t>
        </is>
      </c>
      <c r="C63" s="11" t="inlineStr">
        <is>
          <t>ثلاجة محمولة للسيارة</t>
        </is>
      </c>
      <c r="D63" s="11" t="inlineStr">
        <is>
          <t>portable car fridge cooler</t>
        </is>
      </c>
      <c r="E63" s="12" t="n">
        <v>679</v>
      </c>
      <c r="F63" s="10" t="inlineStr">
        <is>
          <t>تقدير</t>
        </is>
      </c>
      <c r="G63" s="10" t="inlineStr">
        <is>
          <t>تقدير</t>
        </is>
      </c>
      <c r="H63" s="10" t="inlineStr">
        <is>
          <t>لم تُفحص</t>
        </is>
      </c>
      <c r="I63" s="10" t="inlineStr">
        <is>
          <t>لم يُفحص</t>
        </is>
      </c>
      <c r="J63" s="13" t="n">
        <v>60</v>
      </c>
      <c r="K63" s="11" t="inlineStr">
        <is>
          <t>تقدير</t>
        </is>
      </c>
      <c r="L63" s="14" t="n">
        <v>8</v>
      </c>
      <c r="M63" s="10" t="inlineStr">
        <is>
          <t>كبير</t>
        </is>
      </c>
      <c r="N63" s="11" t="inlineStr">
        <is>
          <t>الصيف</t>
        </is>
      </c>
      <c r="O63" s="11" t="inlineStr">
        <is>
          <t>SABER</t>
        </is>
      </c>
      <c r="P63" s="15" t="n">
        <v>0.1</v>
      </c>
      <c r="Q63" s="14" t="n">
        <v>21</v>
      </c>
      <c r="R63" s="14" t="n">
        <v>50</v>
      </c>
      <c r="S63" s="16">
        <f>J63*'الافتراضات'!$B$2*(1+'الافتراضات'!$B$3)</f>
        <v/>
      </c>
      <c r="T63" s="16">
        <f>L63*'الافتراضات'!$B$4</f>
        <v/>
      </c>
      <c r="U63" s="16">
        <f>(S63+T63)*'الافتراضات'!$B$5</f>
        <v/>
      </c>
      <c r="V63" s="16">
        <f>S63+T63+U63</f>
        <v/>
      </c>
      <c r="W63" s="16">
        <f>MAX(1,E63*P63)</f>
        <v/>
      </c>
      <c r="X63" s="16">
        <f>E63*'الافتراضات'!$B$7</f>
        <v/>
      </c>
      <c r="Y63" s="16">
        <f>E63*'الافتراضات'!$B$8</f>
        <v/>
      </c>
      <c r="Z63" s="16">
        <f>E63/(1+'الافتراضات'!$B$6)</f>
        <v/>
      </c>
      <c r="AA63" s="16">
        <f>Z63-V63-W63-Q63-X63-Y63</f>
        <v/>
      </c>
      <c r="AB63" s="17">
        <f>IF(Z63=0,0,AA63/Z63)</f>
        <v/>
      </c>
      <c r="AC63" s="17">
        <f>IF(V63=0,0,AA63/V63)</f>
        <v/>
      </c>
      <c r="AD63" s="18">
        <f>R63*V63</f>
        <v/>
      </c>
      <c r="AE63" s="16">
        <f>IF(AB63&gt;='الافتراضات'!$B$9,IF(O63="لا","ابدأ به","جيد – يحتاج شهادة"),IF(AB63&gt;='الافتراضات'!$B$10,"مقبول","ضعيف"))</f>
        <v/>
      </c>
      <c r="AF63" s="16">
        <f>IF((1-'الافتراضات'!$B$9)/(1+'الافتراضات'!$B$6)-P63-'الافتراضات'!$B$7-'الافتراضات'!$B$8&lt;=0,0,(V63+Q63)/((1-'الافتراضات'!$B$9)/(1+'الافتراضات'!$B$6)-P63-'الافتراضات'!$B$7-'الافتراضات'!$B$8))</f>
        <v/>
      </c>
    </row>
    <row r="64">
      <c r="A64" s="10" t="n">
        <v>63</v>
      </c>
      <c r="B64" s="11" t="inlineStr">
        <is>
          <t>إكسسوارات الجوال والإلكترونيات</t>
        </is>
      </c>
      <c r="C64" s="11" t="inlineStr">
        <is>
          <t>محفظة جوال لاصقة</t>
        </is>
      </c>
      <c r="D64" s="11" t="inlineStr">
        <is>
          <t>phone wallet stick-on</t>
        </is>
      </c>
      <c r="E64" s="12" t="n">
        <v>25</v>
      </c>
      <c r="F64" s="10" t="inlineStr">
        <is>
          <t>تقدير</t>
        </is>
      </c>
      <c r="G64" s="10" t="inlineStr">
        <is>
          <t>تقدير</t>
        </is>
      </c>
      <c r="H64" s="10" t="inlineStr">
        <is>
          <t>لم تُفحص</t>
        </is>
      </c>
      <c r="I64" s="10" t="inlineStr">
        <is>
          <t>لم يُفحص</t>
        </is>
      </c>
      <c r="J64" s="13" t="n">
        <v>0.9</v>
      </c>
      <c r="K64" s="11" t="inlineStr">
        <is>
          <t>تقدير</t>
        </is>
      </c>
      <c r="L64" s="14" t="n">
        <v>0.04</v>
      </c>
      <c r="M64" s="10" t="inlineStr">
        <is>
          <t>صغير</t>
        </is>
      </c>
      <c r="N64" s="11" t="inlineStr">
        <is>
          <t>طوال السنة</t>
        </is>
      </c>
      <c r="O64" s="11" t="inlineStr">
        <is>
          <t>لا</t>
        </is>
      </c>
      <c r="P64" s="15" t="n">
        <v>0.2</v>
      </c>
      <c r="Q64" s="14" t="n">
        <v>6</v>
      </c>
      <c r="R64" s="14" t="n">
        <v>50</v>
      </c>
      <c r="S64" s="16">
        <f>J64*'الافتراضات'!$B$2*(1+'الافتراضات'!$B$3)</f>
        <v/>
      </c>
      <c r="T64" s="16">
        <f>L64*'الافتراضات'!$B$4</f>
        <v/>
      </c>
      <c r="U64" s="16">
        <f>(S64+T64)*'الافتراضات'!$B$5</f>
        <v/>
      </c>
      <c r="V64" s="16">
        <f>S64+T64+U64</f>
        <v/>
      </c>
      <c r="W64" s="16">
        <f>MAX(1,E64*P64)</f>
        <v/>
      </c>
      <c r="X64" s="16">
        <f>E64*'الافتراضات'!$B$7</f>
        <v/>
      </c>
      <c r="Y64" s="16">
        <f>E64*'الافتراضات'!$B$8</f>
        <v/>
      </c>
      <c r="Z64" s="16">
        <f>E64/(1+'الافتراضات'!$B$6)</f>
        <v/>
      </c>
      <c r="AA64" s="16">
        <f>Z64-V64-W64-Q64-X64-Y64</f>
        <v/>
      </c>
      <c r="AB64" s="17">
        <f>IF(Z64=0,0,AA64/Z64)</f>
        <v/>
      </c>
      <c r="AC64" s="17">
        <f>IF(V64=0,0,AA64/V64)</f>
        <v/>
      </c>
      <c r="AD64" s="18">
        <f>R64*V64</f>
        <v/>
      </c>
      <c r="AE64" s="16">
        <f>IF(AB64&gt;='الافتراضات'!$B$9,IF(O64="لا","ابدأ به","جيد – يحتاج شهادة"),IF(AB64&gt;='الافتراضات'!$B$10,"مقبول","ضعيف"))</f>
        <v/>
      </c>
      <c r="AF64" s="16">
        <f>IF((1-'الافتراضات'!$B$9)/(1+'الافتراضات'!$B$6)-P64-'الافتراضات'!$B$7-'الافتراضات'!$B$8&lt;=0,0,(V64+Q64)/((1-'الافتراضات'!$B$9)/(1+'الافتراضات'!$B$6)-P64-'الافتراضات'!$B$7-'الافتراضات'!$B$8))</f>
        <v/>
      </c>
    </row>
    <row r="65">
      <c r="A65" s="10" t="n">
        <v>64</v>
      </c>
      <c r="B65" s="11" t="inlineStr">
        <is>
          <t>الأطفال والألعاب</t>
        </is>
      </c>
      <c r="C65" s="11" t="inlineStr">
        <is>
          <t>مراقب أطفال بالكاميرا</t>
        </is>
      </c>
      <c r="D65" s="11" t="inlineStr">
        <is>
          <t>baby monitor camera</t>
        </is>
      </c>
      <c r="E65" s="12" t="n">
        <v>204</v>
      </c>
      <c r="F65" s="10" t="inlineStr">
        <is>
          <t>تقدير</t>
        </is>
      </c>
      <c r="G65" s="10" t="inlineStr">
        <is>
          <t>تقدير</t>
        </is>
      </c>
      <c r="H65" s="10" t="inlineStr">
        <is>
          <t>لم تُفحص</t>
        </is>
      </c>
      <c r="I65" s="10" t="inlineStr">
        <is>
          <t>لم يُفحص</t>
        </is>
      </c>
      <c r="J65" s="13" t="n">
        <v>18</v>
      </c>
      <c r="K65" s="11" t="inlineStr">
        <is>
          <t>تقدير</t>
        </is>
      </c>
      <c r="L65" s="14" t="n">
        <v>0.8</v>
      </c>
      <c r="M65" s="10" t="inlineStr">
        <is>
          <t>متوسط</t>
        </is>
      </c>
      <c r="N65" s="11" t="inlineStr">
        <is>
          <t>طوال السنة</t>
        </is>
      </c>
      <c r="O65" s="11" t="inlineStr">
        <is>
          <t>SABER + بطارية ليثيوم</t>
        </is>
      </c>
      <c r="P65" s="15" t="n">
        <v>0.15</v>
      </c>
      <c r="Q65" s="14" t="n">
        <v>10</v>
      </c>
      <c r="R65" s="14" t="n">
        <v>50</v>
      </c>
      <c r="S65" s="16">
        <f>J65*'الافتراضات'!$B$2*(1+'الافتراضات'!$B$3)</f>
        <v/>
      </c>
      <c r="T65" s="16">
        <f>L65*'الافتراضات'!$B$4</f>
        <v/>
      </c>
      <c r="U65" s="16">
        <f>(S65+T65)*'الافتراضات'!$B$5</f>
        <v/>
      </c>
      <c r="V65" s="16">
        <f>S65+T65+U65</f>
        <v/>
      </c>
      <c r="W65" s="16">
        <f>MAX(1,E65*P65)</f>
        <v/>
      </c>
      <c r="X65" s="16">
        <f>E65*'الافتراضات'!$B$7</f>
        <v/>
      </c>
      <c r="Y65" s="16">
        <f>E65*'الافتراضات'!$B$8</f>
        <v/>
      </c>
      <c r="Z65" s="16">
        <f>E65/(1+'الافتراضات'!$B$6)</f>
        <v/>
      </c>
      <c r="AA65" s="16">
        <f>Z65-V65-W65-Q65-X65-Y65</f>
        <v/>
      </c>
      <c r="AB65" s="17">
        <f>IF(Z65=0,0,AA65/Z65)</f>
        <v/>
      </c>
      <c r="AC65" s="17">
        <f>IF(V65=0,0,AA65/V65)</f>
        <v/>
      </c>
      <c r="AD65" s="18">
        <f>R65*V65</f>
        <v/>
      </c>
      <c r="AE65" s="16">
        <f>IF(AB65&gt;='الافتراضات'!$B$9,IF(O65="لا","ابدأ به","جيد – يحتاج شهادة"),IF(AB65&gt;='الافتراضات'!$B$10,"مقبول","ضعيف"))</f>
        <v/>
      </c>
      <c r="AF65" s="16">
        <f>IF((1-'الافتراضات'!$B$9)/(1+'الافتراضات'!$B$6)-P65-'الافتراضات'!$B$7-'الافتراضات'!$B$8&lt;=0,0,(V65+Q65)/((1-'الافتراضات'!$B$9)/(1+'الافتراضات'!$B$6)-P65-'الافتراضات'!$B$7-'الافتراضات'!$B$8))</f>
        <v/>
      </c>
    </row>
    <row r="66">
      <c r="A66" s="10" t="n">
        <v>65</v>
      </c>
      <c r="B66" s="11" t="inlineStr">
        <is>
          <t>المنزل والمطبخ</t>
        </is>
      </c>
      <c r="C66" s="11" t="inlineStr">
        <is>
          <t>مسدس مساج صغير</t>
        </is>
      </c>
      <c r="D66" s="11" t="inlineStr">
        <is>
          <t>mini massage gun</t>
        </is>
      </c>
      <c r="E66" s="12" t="n">
        <v>192</v>
      </c>
      <c r="F66" s="10" t="inlineStr">
        <is>
          <t>تقدير</t>
        </is>
      </c>
      <c r="G66" s="10" t="inlineStr">
        <is>
          <t>تقدير</t>
        </is>
      </c>
      <c r="H66" s="10" t="inlineStr">
        <is>
          <t>لم تُفحص</t>
        </is>
      </c>
      <c r="I66" s="10" t="inlineStr">
        <is>
          <t>لم يُفحص</t>
        </is>
      </c>
      <c r="J66" s="13" t="n">
        <v>17</v>
      </c>
      <c r="K66" s="11" t="inlineStr">
        <is>
          <t>تقدير</t>
        </is>
      </c>
      <c r="L66" s="14" t="n">
        <v>0.7</v>
      </c>
      <c r="M66" s="10" t="inlineStr">
        <is>
          <t>صغير</t>
        </is>
      </c>
      <c r="N66" s="11" t="inlineStr">
        <is>
          <t>طوال السنة</t>
        </is>
      </c>
      <c r="O66" s="11" t="inlineStr">
        <is>
          <t>SABER + بطارية ليثيوم</t>
        </is>
      </c>
      <c r="P66" s="15" t="n">
        <v>0.15</v>
      </c>
      <c r="Q66" s="14" t="n">
        <v>10</v>
      </c>
      <c r="R66" s="14" t="n">
        <v>50</v>
      </c>
      <c r="S66" s="16">
        <f>J66*'الافتراضات'!$B$2*(1+'الافتراضات'!$B$3)</f>
        <v/>
      </c>
      <c r="T66" s="16">
        <f>L66*'الافتراضات'!$B$4</f>
        <v/>
      </c>
      <c r="U66" s="16">
        <f>(S66+T66)*'الافتراضات'!$B$5</f>
        <v/>
      </c>
      <c r="V66" s="16">
        <f>S66+T66+U66</f>
        <v/>
      </c>
      <c r="W66" s="16">
        <f>MAX(1,E66*P66)</f>
        <v/>
      </c>
      <c r="X66" s="16">
        <f>E66*'الافتراضات'!$B$7</f>
        <v/>
      </c>
      <c r="Y66" s="16">
        <f>E66*'الافتراضات'!$B$8</f>
        <v/>
      </c>
      <c r="Z66" s="16">
        <f>E66/(1+'الافتراضات'!$B$6)</f>
        <v/>
      </c>
      <c r="AA66" s="16">
        <f>Z66-V66-W66-Q66-X66-Y66</f>
        <v/>
      </c>
      <c r="AB66" s="17">
        <f>IF(Z66=0,0,AA66/Z66)</f>
        <v/>
      </c>
      <c r="AC66" s="17">
        <f>IF(V66=0,0,AA66/V66)</f>
        <v/>
      </c>
      <c r="AD66" s="18">
        <f>R66*V66</f>
        <v/>
      </c>
      <c r="AE66" s="16">
        <f>IF(AB66&gt;='الافتراضات'!$B$9,IF(O66="لا","ابدأ به","جيد – يحتاج شهادة"),IF(AB66&gt;='الافتراضات'!$B$10,"مقبول","ضعيف"))</f>
        <v/>
      </c>
      <c r="AF66" s="16">
        <f>IF((1-'الافتراضات'!$B$9)/(1+'الافتراضات'!$B$6)-P66-'الافتراضات'!$B$7-'الافتراضات'!$B$8&lt;=0,0,(V66+Q66)/((1-'الافتراضات'!$B$9)/(1+'الافتراضات'!$B$6)-P66-'الافتراضات'!$B$7-'الافتراضات'!$B$8))</f>
        <v/>
      </c>
    </row>
    <row r="67">
      <c r="A67" s="10" t="n">
        <v>66</v>
      </c>
      <c r="B67" s="11" t="inlineStr">
        <is>
          <t>السيارات والدراجات</t>
        </is>
      </c>
      <c r="C67" s="11" t="inlineStr">
        <is>
          <t>حساس ركن خلفي</t>
        </is>
      </c>
      <c r="D67" s="11" t="inlineStr">
        <is>
          <t>parking sensor reverse</t>
        </is>
      </c>
      <c r="E67" s="12" t="n">
        <v>102</v>
      </c>
      <c r="F67" s="10" t="inlineStr">
        <is>
          <t>تقدير</t>
        </is>
      </c>
      <c r="G67" s="10" t="inlineStr">
        <is>
          <t>تقدير</t>
        </is>
      </c>
      <c r="H67" s="10" t="inlineStr">
        <is>
          <t>لم تُفحص</t>
        </is>
      </c>
      <c r="I67" s="10" t="inlineStr">
        <is>
          <t>لم يُفحص</t>
        </is>
      </c>
      <c r="J67" s="13" t="n">
        <v>9</v>
      </c>
      <c r="K67" s="11" t="inlineStr">
        <is>
          <t>تقدير</t>
        </is>
      </c>
      <c r="L67" s="14" t="n">
        <v>0.5</v>
      </c>
      <c r="M67" s="10" t="inlineStr">
        <is>
          <t>متوسط</t>
        </is>
      </c>
      <c r="N67" s="11" t="inlineStr">
        <is>
          <t>طوال السنة</t>
        </is>
      </c>
      <c r="O67" s="11" t="inlineStr">
        <is>
          <t>SABER</t>
        </is>
      </c>
      <c r="P67" s="15" t="n">
        <v>0.1</v>
      </c>
      <c r="Q67" s="14" t="n">
        <v>9.5</v>
      </c>
      <c r="R67" s="14" t="n">
        <v>50</v>
      </c>
      <c r="S67" s="16">
        <f>J67*'الافتراضات'!$B$2*(1+'الافتراضات'!$B$3)</f>
        <v/>
      </c>
      <c r="T67" s="16">
        <f>L67*'الافتراضات'!$B$4</f>
        <v/>
      </c>
      <c r="U67" s="16">
        <f>(S67+T67)*'الافتراضات'!$B$5</f>
        <v/>
      </c>
      <c r="V67" s="16">
        <f>S67+T67+U67</f>
        <v/>
      </c>
      <c r="W67" s="16">
        <f>MAX(1,E67*P67)</f>
        <v/>
      </c>
      <c r="X67" s="16">
        <f>E67*'الافتراضات'!$B$7</f>
        <v/>
      </c>
      <c r="Y67" s="16">
        <f>E67*'الافتراضات'!$B$8</f>
        <v/>
      </c>
      <c r="Z67" s="16">
        <f>E67/(1+'الافتراضات'!$B$6)</f>
        <v/>
      </c>
      <c r="AA67" s="16">
        <f>Z67-V67-W67-Q67-X67-Y67</f>
        <v/>
      </c>
      <c r="AB67" s="17">
        <f>IF(Z67=0,0,AA67/Z67)</f>
        <v/>
      </c>
      <c r="AC67" s="17">
        <f>IF(V67=0,0,AA67/V67)</f>
        <v/>
      </c>
      <c r="AD67" s="18">
        <f>R67*V67</f>
        <v/>
      </c>
      <c r="AE67" s="16">
        <f>IF(AB67&gt;='الافتراضات'!$B$9,IF(O67="لا","ابدأ به","جيد – يحتاج شهادة"),IF(AB67&gt;='الافتراضات'!$B$10,"مقبول","ضعيف"))</f>
        <v/>
      </c>
      <c r="AF67" s="16">
        <f>IF((1-'الافتراضات'!$B$9)/(1+'الافتراضات'!$B$6)-P67-'الافتراضات'!$B$7-'الافتراضات'!$B$8&lt;=0,0,(V67+Q67)/((1-'الافتراضات'!$B$9)/(1+'الافتراضات'!$B$6)-P67-'الافتراضات'!$B$7-'الافتراضات'!$B$8))</f>
        <v/>
      </c>
    </row>
    <row r="68">
      <c r="A68" s="10" t="n">
        <v>67</v>
      </c>
      <c r="B68" s="11" t="inlineStr">
        <is>
          <t>إكسسوارات الجوال والإلكترونيات</t>
        </is>
      </c>
      <c r="C68" s="11" t="inlineStr">
        <is>
          <t>سماعات سلكية بميكروفون Type-C</t>
        </is>
      </c>
      <c r="D68" s="11" t="inlineStr">
        <is>
          <t>wired earphones USB-C microphone</t>
        </is>
      </c>
      <c r="E68" s="12" t="n">
        <v>25</v>
      </c>
      <c r="F68" s="10" t="inlineStr">
        <is>
          <t>تقدير</t>
        </is>
      </c>
      <c r="G68" s="10" t="inlineStr">
        <is>
          <t>تقدير</t>
        </is>
      </c>
      <c r="H68" s="10" t="inlineStr">
        <is>
          <t>لم تُفحص</t>
        </is>
      </c>
      <c r="I68" s="10" t="inlineStr">
        <is>
          <t>لم يُفحص</t>
        </is>
      </c>
      <c r="J68" s="13" t="n">
        <v>0.9</v>
      </c>
      <c r="K68" s="11" t="inlineStr">
        <is>
          <t>تقدير</t>
        </is>
      </c>
      <c r="L68" s="14" t="n">
        <v>0.05</v>
      </c>
      <c r="M68" s="10" t="inlineStr">
        <is>
          <t>صغير</t>
        </is>
      </c>
      <c r="N68" s="11" t="inlineStr">
        <is>
          <t>طوال السنة</t>
        </is>
      </c>
      <c r="O68" s="11" t="inlineStr">
        <is>
          <t>لا</t>
        </is>
      </c>
      <c r="P68" s="15" t="n">
        <v>0.2</v>
      </c>
      <c r="Q68" s="14" t="n">
        <v>6</v>
      </c>
      <c r="R68" s="14" t="n">
        <v>50</v>
      </c>
      <c r="S68" s="16">
        <f>J68*'الافتراضات'!$B$2*(1+'الافتراضات'!$B$3)</f>
        <v/>
      </c>
      <c r="T68" s="16">
        <f>L68*'الافتراضات'!$B$4</f>
        <v/>
      </c>
      <c r="U68" s="16">
        <f>(S68+T68)*'الافتراضات'!$B$5</f>
        <v/>
      </c>
      <c r="V68" s="16">
        <f>S68+T68+U68</f>
        <v/>
      </c>
      <c r="W68" s="16">
        <f>MAX(1,E68*P68)</f>
        <v/>
      </c>
      <c r="X68" s="16">
        <f>E68*'الافتراضات'!$B$7</f>
        <v/>
      </c>
      <c r="Y68" s="16">
        <f>E68*'الافتراضات'!$B$8</f>
        <v/>
      </c>
      <c r="Z68" s="16">
        <f>E68/(1+'الافتراضات'!$B$6)</f>
        <v/>
      </c>
      <c r="AA68" s="16">
        <f>Z68-V68-W68-Q68-X68-Y68</f>
        <v/>
      </c>
      <c r="AB68" s="17">
        <f>IF(Z68=0,0,AA68/Z68)</f>
        <v/>
      </c>
      <c r="AC68" s="17">
        <f>IF(V68=0,0,AA68/V68)</f>
        <v/>
      </c>
      <c r="AD68" s="18">
        <f>R68*V68</f>
        <v/>
      </c>
      <c r="AE68" s="16">
        <f>IF(AB68&gt;='الافتراضات'!$B$9,IF(O68="لا","ابدأ به","جيد – يحتاج شهادة"),IF(AB68&gt;='الافتراضات'!$B$10,"مقبول","ضعيف"))</f>
        <v/>
      </c>
      <c r="AF68" s="16">
        <f>IF((1-'الافتراضات'!$B$9)/(1+'الافتراضات'!$B$6)-P68-'الافتراضات'!$B$7-'الافتراضات'!$B$8&lt;=0,0,(V68+Q68)/((1-'الافتراضات'!$B$9)/(1+'الافتراضات'!$B$6)-P68-'الافتراضات'!$B$7-'الافتراضات'!$B$8))</f>
        <v/>
      </c>
    </row>
    <row r="69">
      <c r="A69" s="10" t="n">
        <v>68</v>
      </c>
      <c r="B69" s="11" t="inlineStr">
        <is>
          <t>السيارات والدراجات</t>
        </is>
      </c>
      <c r="C69" s="11" t="inlineStr">
        <is>
          <t>كاميرا داش أمامية 1080p</t>
        </is>
      </c>
      <c r="D69" s="11" t="inlineStr">
        <is>
          <t>dash cam 1080p wifi</t>
        </is>
      </c>
      <c r="E69" s="12" t="n">
        <v>147</v>
      </c>
      <c r="F69" s="10" t="inlineStr">
        <is>
          <t>تقدير</t>
        </is>
      </c>
      <c r="G69" s="10" t="inlineStr">
        <is>
          <t>تقدير</t>
        </is>
      </c>
      <c r="H69" s="10" t="inlineStr">
        <is>
          <t>لم تُفحص</t>
        </is>
      </c>
      <c r="I69" s="10" t="inlineStr">
        <is>
          <t>لم يُفحص</t>
        </is>
      </c>
      <c r="J69" s="13" t="n">
        <v>13</v>
      </c>
      <c r="K69" s="11" t="inlineStr">
        <is>
          <t>تقدير</t>
        </is>
      </c>
      <c r="L69" s="14" t="n">
        <v>0.35</v>
      </c>
      <c r="M69" s="10" t="inlineStr">
        <is>
          <t>صغير</t>
        </is>
      </c>
      <c r="N69" s="11" t="inlineStr">
        <is>
          <t>طوال السنة</t>
        </is>
      </c>
      <c r="O69" s="11" t="inlineStr">
        <is>
          <t>SABER + بطارية ليثيوم</t>
        </is>
      </c>
      <c r="P69" s="15" t="n">
        <v>0.15</v>
      </c>
      <c r="Q69" s="14" t="n">
        <v>9.5</v>
      </c>
      <c r="R69" s="14" t="n">
        <v>50</v>
      </c>
      <c r="S69" s="16">
        <f>J69*'الافتراضات'!$B$2*(1+'الافتراضات'!$B$3)</f>
        <v/>
      </c>
      <c r="T69" s="16">
        <f>L69*'الافتراضات'!$B$4</f>
        <v/>
      </c>
      <c r="U69" s="16">
        <f>(S69+T69)*'الافتراضات'!$B$5</f>
        <v/>
      </c>
      <c r="V69" s="16">
        <f>S69+T69+U69</f>
        <v/>
      </c>
      <c r="W69" s="16">
        <f>MAX(1,E69*P69)</f>
        <v/>
      </c>
      <c r="X69" s="16">
        <f>E69*'الافتراضات'!$B$7</f>
        <v/>
      </c>
      <c r="Y69" s="16">
        <f>E69*'الافتراضات'!$B$8</f>
        <v/>
      </c>
      <c r="Z69" s="16">
        <f>E69/(1+'الافتراضات'!$B$6)</f>
        <v/>
      </c>
      <c r="AA69" s="16">
        <f>Z69-V69-W69-Q69-X69-Y69</f>
        <v/>
      </c>
      <c r="AB69" s="17">
        <f>IF(Z69=0,0,AA69/Z69)</f>
        <v/>
      </c>
      <c r="AC69" s="17">
        <f>IF(V69=0,0,AA69/V69)</f>
        <v/>
      </c>
      <c r="AD69" s="18">
        <f>R69*V69</f>
        <v/>
      </c>
      <c r="AE69" s="16">
        <f>IF(AB69&gt;='الافتراضات'!$B$9,IF(O69="لا","ابدأ به","جيد – يحتاج شهادة"),IF(AB69&gt;='الافتراضات'!$B$10,"مقبول","ضعيف"))</f>
        <v/>
      </c>
      <c r="AF69" s="16">
        <f>IF((1-'الافتراضات'!$B$9)/(1+'الافتراضات'!$B$6)-P69-'الافتراضات'!$B$7-'الافتراضات'!$B$8&lt;=0,0,(V69+Q69)/((1-'الافتراضات'!$B$9)/(1+'الافتراضات'!$B$6)-P69-'الافتراضات'!$B$7-'الافتراضات'!$B$8))</f>
        <v/>
      </c>
    </row>
    <row r="70">
      <c r="A70" s="10" t="n">
        <v>69</v>
      </c>
      <c r="B70" s="11" t="inlineStr">
        <is>
          <t>الأطفال والألعاب</t>
        </is>
      </c>
      <c r="C70" s="11" t="inlineStr">
        <is>
          <t>ساعة ذكية للأطفال</t>
        </is>
      </c>
      <c r="D70" s="11" t="inlineStr">
        <is>
          <t>kids smart watch GPS</t>
        </is>
      </c>
      <c r="E70" s="12" t="n">
        <v>113</v>
      </c>
      <c r="F70" s="10" t="inlineStr">
        <is>
          <t>تقدير</t>
        </is>
      </c>
      <c r="G70" s="10" t="inlineStr">
        <is>
          <t>تقدير</t>
        </is>
      </c>
      <c r="H70" s="10" t="inlineStr">
        <is>
          <t>لم تُفحص</t>
        </is>
      </c>
      <c r="I70" s="10" t="inlineStr">
        <is>
          <t>لم يُفحص</t>
        </is>
      </c>
      <c r="J70" s="13" t="n">
        <v>10</v>
      </c>
      <c r="K70" s="11" t="inlineStr">
        <is>
          <t>تقدير</t>
        </is>
      </c>
      <c r="L70" s="14" t="n">
        <v>0.2</v>
      </c>
      <c r="M70" s="10" t="inlineStr">
        <is>
          <t>صغير</t>
        </is>
      </c>
      <c r="N70" s="11" t="inlineStr">
        <is>
          <t>طوال السنة</t>
        </is>
      </c>
      <c r="O70" s="11" t="inlineStr">
        <is>
          <t>SABER + بطارية ليثيوم</t>
        </is>
      </c>
      <c r="P70" s="15" t="n">
        <v>0.14</v>
      </c>
      <c r="Q70" s="14" t="n">
        <v>9</v>
      </c>
      <c r="R70" s="14" t="n">
        <v>50</v>
      </c>
      <c r="S70" s="16">
        <f>J70*'الافتراضات'!$B$2*(1+'الافتراضات'!$B$3)</f>
        <v/>
      </c>
      <c r="T70" s="16">
        <f>L70*'الافتراضات'!$B$4</f>
        <v/>
      </c>
      <c r="U70" s="16">
        <f>(S70+T70)*'الافتراضات'!$B$5</f>
        <v/>
      </c>
      <c r="V70" s="16">
        <f>S70+T70+U70</f>
        <v/>
      </c>
      <c r="W70" s="16">
        <f>MAX(1,E70*P70)</f>
        <v/>
      </c>
      <c r="X70" s="16">
        <f>E70*'الافتراضات'!$B$7</f>
        <v/>
      </c>
      <c r="Y70" s="16">
        <f>E70*'الافتراضات'!$B$8</f>
        <v/>
      </c>
      <c r="Z70" s="16">
        <f>E70/(1+'الافتراضات'!$B$6)</f>
        <v/>
      </c>
      <c r="AA70" s="16">
        <f>Z70-V70-W70-Q70-X70-Y70</f>
        <v/>
      </c>
      <c r="AB70" s="17">
        <f>IF(Z70=0,0,AA70/Z70)</f>
        <v/>
      </c>
      <c r="AC70" s="17">
        <f>IF(V70=0,0,AA70/V70)</f>
        <v/>
      </c>
      <c r="AD70" s="18">
        <f>R70*V70</f>
        <v/>
      </c>
      <c r="AE70" s="16">
        <f>IF(AB70&gt;='الافتراضات'!$B$9,IF(O70="لا","ابدأ به","جيد – يحتاج شهادة"),IF(AB70&gt;='الافتراضات'!$B$10,"مقبول","ضعيف"))</f>
        <v/>
      </c>
      <c r="AF70" s="16">
        <f>IF((1-'الافتراضات'!$B$9)/(1+'الافتراضات'!$B$6)-P70-'الافتراضات'!$B$7-'الافتراضات'!$B$8&lt;=0,0,(V70+Q70)/((1-'الافتراضات'!$B$9)/(1+'الافتراضات'!$B$6)-P70-'الافتراضات'!$B$7-'الافتراضات'!$B$8))</f>
        <v/>
      </c>
    </row>
    <row r="71">
      <c r="A71" s="10" t="n">
        <v>70</v>
      </c>
      <c r="B71" s="11" t="inlineStr">
        <is>
          <t>السيارات والدراجات</t>
        </is>
      </c>
      <c r="C71" s="11" t="inlineStr">
        <is>
          <t>مضخة ضغط منزلية لغسيل السيارة</t>
        </is>
      </c>
      <c r="D71" s="11" t="inlineStr">
        <is>
          <t>high pressure washer gun</t>
        </is>
      </c>
      <c r="E71" s="12" t="n">
        <v>136</v>
      </c>
      <c r="F71" s="10" t="inlineStr">
        <is>
          <t>تقدير</t>
        </is>
      </c>
      <c r="G71" s="10" t="inlineStr">
        <is>
          <t>تقدير</t>
        </is>
      </c>
      <c r="H71" s="10" t="inlineStr">
        <is>
          <t>لم تُفحص</t>
        </is>
      </c>
      <c r="I71" s="10" t="inlineStr">
        <is>
          <t>لم يُفحص</t>
        </is>
      </c>
      <c r="J71" s="13" t="n">
        <v>12</v>
      </c>
      <c r="K71" s="11" t="inlineStr">
        <is>
          <t>تقدير</t>
        </is>
      </c>
      <c r="L71" s="14" t="n">
        <v>1.5</v>
      </c>
      <c r="M71" s="10" t="inlineStr">
        <is>
          <t>متوسط</t>
        </is>
      </c>
      <c r="N71" s="11" t="inlineStr">
        <is>
          <t>طوال السنة</t>
        </is>
      </c>
      <c r="O71" s="11" t="inlineStr">
        <is>
          <t>SABER</t>
        </is>
      </c>
      <c r="P71" s="15" t="n">
        <v>0.06</v>
      </c>
      <c r="Q71" s="14" t="n">
        <v>11.5</v>
      </c>
      <c r="R71" s="14" t="n">
        <v>50</v>
      </c>
      <c r="S71" s="16">
        <f>J71*'الافتراضات'!$B$2*(1+'الافتراضات'!$B$3)</f>
        <v/>
      </c>
      <c r="T71" s="16">
        <f>L71*'الافتراضات'!$B$4</f>
        <v/>
      </c>
      <c r="U71" s="16">
        <f>(S71+T71)*'الافتراضات'!$B$5</f>
        <v/>
      </c>
      <c r="V71" s="16">
        <f>S71+T71+U71</f>
        <v/>
      </c>
      <c r="W71" s="16">
        <f>MAX(1,E71*P71)</f>
        <v/>
      </c>
      <c r="X71" s="16">
        <f>E71*'الافتراضات'!$B$7</f>
        <v/>
      </c>
      <c r="Y71" s="16">
        <f>E71*'الافتراضات'!$B$8</f>
        <v/>
      </c>
      <c r="Z71" s="16">
        <f>E71/(1+'الافتراضات'!$B$6)</f>
        <v/>
      </c>
      <c r="AA71" s="16">
        <f>Z71-V71-W71-Q71-X71-Y71</f>
        <v/>
      </c>
      <c r="AB71" s="17">
        <f>IF(Z71=0,0,AA71/Z71)</f>
        <v/>
      </c>
      <c r="AC71" s="17">
        <f>IF(V71=0,0,AA71/V71)</f>
        <v/>
      </c>
      <c r="AD71" s="18">
        <f>R71*V71</f>
        <v/>
      </c>
      <c r="AE71" s="16">
        <f>IF(AB71&gt;='الافتراضات'!$B$9,IF(O71="لا","ابدأ به","جيد – يحتاج شهادة"),IF(AB71&gt;='الافتراضات'!$B$10,"مقبول","ضعيف"))</f>
        <v/>
      </c>
      <c r="AF71" s="16">
        <f>IF((1-'الافتراضات'!$B$9)/(1+'الافتراضات'!$B$6)-P71-'الافتراضات'!$B$7-'الافتراضات'!$B$8&lt;=0,0,(V71+Q71)/((1-'الافتراضات'!$B$9)/(1+'الافتراضات'!$B$6)-P71-'الافتراضات'!$B$7-'الافتراضات'!$B$8))</f>
        <v/>
      </c>
    </row>
    <row r="72">
      <c r="A72" s="10" t="n">
        <v>71</v>
      </c>
      <c r="B72" s="11" t="inlineStr">
        <is>
          <t>رمضان والمناسبات</t>
        </is>
      </c>
      <c r="C72" s="11" t="inlineStr">
        <is>
          <t>جهاز قرآن صغير</t>
        </is>
      </c>
      <c r="D72" s="11" t="inlineStr">
        <is>
          <t>digital quran player speaker</t>
        </is>
      </c>
      <c r="E72" s="12" t="n">
        <v>91</v>
      </c>
      <c r="F72" s="10" t="inlineStr">
        <is>
          <t>تقدير</t>
        </is>
      </c>
      <c r="G72" s="10" t="inlineStr">
        <is>
          <t>تقدير</t>
        </is>
      </c>
      <c r="H72" s="10" t="inlineStr">
        <is>
          <t>لم تُفحص</t>
        </is>
      </c>
      <c r="I72" s="10" t="inlineStr">
        <is>
          <t>لم يُفحص</t>
        </is>
      </c>
      <c r="J72" s="13" t="n">
        <v>8</v>
      </c>
      <c r="K72" s="11" t="inlineStr">
        <is>
          <t>تقدير</t>
        </is>
      </c>
      <c r="L72" s="14" t="n">
        <v>0.4</v>
      </c>
      <c r="M72" s="10" t="inlineStr">
        <is>
          <t>متوسط</t>
        </is>
      </c>
      <c r="N72" s="11" t="inlineStr">
        <is>
          <t>رمضان والمناسبات</t>
        </is>
      </c>
      <c r="O72" s="11" t="inlineStr">
        <is>
          <t>SABER + بطارية ليثيوم</t>
        </is>
      </c>
      <c r="P72" s="15" t="n">
        <v>0.1</v>
      </c>
      <c r="Q72" s="14" t="n">
        <v>9.5</v>
      </c>
      <c r="R72" s="14" t="n">
        <v>50</v>
      </c>
      <c r="S72" s="16">
        <f>J72*'الافتراضات'!$B$2*(1+'الافتراضات'!$B$3)</f>
        <v/>
      </c>
      <c r="T72" s="16">
        <f>L72*'الافتراضات'!$B$4</f>
        <v/>
      </c>
      <c r="U72" s="16">
        <f>(S72+T72)*'الافتراضات'!$B$5</f>
        <v/>
      </c>
      <c r="V72" s="16">
        <f>S72+T72+U72</f>
        <v/>
      </c>
      <c r="W72" s="16">
        <f>MAX(1,E72*P72)</f>
        <v/>
      </c>
      <c r="X72" s="16">
        <f>E72*'الافتراضات'!$B$7</f>
        <v/>
      </c>
      <c r="Y72" s="16">
        <f>E72*'الافتراضات'!$B$8</f>
        <v/>
      </c>
      <c r="Z72" s="16">
        <f>E72/(1+'الافتراضات'!$B$6)</f>
        <v/>
      </c>
      <c r="AA72" s="16">
        <f>Z72-V72-W72-Q72-X72-Y72</f>
        <v/>
      </c>
      <c r="AB72" s="17">
        <f>IF(Z72=0,0,AA72/Z72)</f>
        <v/>
      </c>
      <c r="AC72" s="17">
        <f>IF(V72=0,0,AA72/V72)</f>
        <v/>
      </c>
      <c r="AD72" s="18">
        <f>R72*V72</f>
        <v/>
      </c>
      <c r="AE72" s="16">
        <f>IF(AB72&gt;='الافتراضات'!$B$9,IF(O72="لا","ابدأ به","جيد – يحتاج شهادة"),IF(AB72&gt;='الافتراضات'!$B$10,"مقبول","ضعيف"))</f>
        <v/>
      </c>
      <c r="AF72" s="16">
        <f>IF((1-'الافتراضات'!$B$9)/(1+'الافتراضات'!$B$6)-P72-'الافتراضات'!$B$7-'الافتراضات'!$B$8&lt;=0,0,(V72+Q72)/((1-'الافتراضات'!$B$9)/(1+'الافتراضات'!$B$6)-P72-'الافتراضات'!$B$7-'الافتراضات'!$B$8))</f>
        <v/>
      </c>
    </row>
    <row r="73">
      <c r="A73" s="10" t="n">
        <v>72</v>
      </c>
      <c r="B73" s="11" t="inlineStr">
        <is>
          <t>السيارات والدراجات</t>
        </is>
      </c>
      <c r="C73" s="11" t="inlineStr">
        <is>
          <t>ستارة جانبية للسيارة</t>
        </is>
      </c>
      <c r="D73" s="11" t="inlineStr">
        <is>
          <t>car side window sun shade</t>
        </is>
      </c>
      <c r="E73" s="12" t="n">
        <v>25</v>
      </c>
      <c r="F73" s="10" t="inlineStr">
        <is>
          <t>تقدير</t>
        </is>
      </c>
      <c r="G73" s="10" t="inlineStr">
        <is>
          <t>تقدير</t>
        </is>
      </c>
      <c r="H73" s="10" t="inlineStr">
        <is>
          <t>لم تُفحص</t>
        </is>
      </c>
      <c r="I73" s="10" t="inlineStr">
        <is>
          <t>لم يُفحص</t>
        </is>
      </c>
      <c r="J73" s="13" t="n">
        <v>1</v>
      </c>
      <c r="K73" s="11" t="inlineStr">
        <is>
          <t>تقدير</t>
        </is>
      </c>
      <c r="L73" s="14" t="n">
        <v>0.2</v>
      </c>
      <c r="M73" s="10" t="inlineStr">
        <is>
          <t>صغير</t>
        </is>
      </c>
      <c r="N73" s="11" t="inlineStr">
        <is>
          <t>الصيف</t>
        </is>
      </c>
      <c r="O73" s="11" t="inlineStr">
        <is>
          <t>لا</t>
        </is>
      </c>
      <c r="P73" s="15" t="n">
        <v>0.1</v>
      </c>
      <c r="Q73" s="14" t="n">
        <v>7</v>
      </c>
      <c r="R73" s="14" t="n">
        <v>50</v>
      </c>
      <c r="S73" s="16">
        <f>J73*'الافتراضات'!$B$2*(1+'الافتراضات'!$B$3)</f>
        <v/>
      </c>
      <c r="T73" s="16">
        <f>L73*'الافتراضات'!$B$4</f>
        <v/>
      </c>
      <c r="U73" s="16">
        <f>(S73+T73)*'الافتراضات'!$B$5</f>
        <v/>
      </c>
      <c r="V73" s="16">
        <f>S73+T73+U73</f>
        <v/>
      </c>
      <c r="W73" s="16">
        <f>MAX(1,E73*P73)</f>
        <v/>
      </c>
      <c r="X73" s="16">
        <f>E73*'الافتراضات'!$B$7</f>
        <v/>
      </c>
      <c r="Y73" s="16">
        <f>E73*'الافتراضات'!$B$8</f>
        <v/>
      </c>
      <c r="Z73" s="16">
        <f>E73/(1+'الافتراضات'!$B$6)</f>
        <v/>
      </c>
      <c r="AA73" s="16">
        <f>Z73-V73-W73-Q73-X73-Y73</f>
        <v/>
      </c>
      <c r="AB73" s="17">
        <f>IF(Z73=0,0,AA73/Z73)</f>
        <v/>
      </c>
      <c r="AC73" s="17">
        <f>IF(V73=0,0,AA73/V73)</f>
        <v/>
      </c>
      <c r="AD73" s="18">
        <f>R73*V73</f>
        <v/>
      </c>
      <c r="AE73" s="16">
        <f>IF(AB73&gt;='الافتراضات'!$B$9,IF(O73="لا","ابدأ به","جيد – يحتاج شهادة"),IF(AB73&gt;='الافتراضات'!$B$10,"مقبول","ضعيف"))</f>
        <v/>
      </c>
      <c r="AF73" s="16">
        <f>IF((1-'الافتراضات'!$B$9)/(1+'الافتراضات'!$B$6)-P73-'الافتراضات'!$B$7-'الافتراضات'!$B$8&lt;=0,0,(V73+Q73)/((1-'الافتراضات'!$B$9)/(1+'الافتراضات'!$B$6)-P73-'الافتراضات'!$B$7-'الافتراضات'!$B$8))</f>
        <v/>
      </c>
    </row>
    <row r="74">
      <c r="A74" s="10" t="n">
        <v>73</v>
      </c>
      <c r="B74" s="11" t="inlineStr">
        <is>
          <t>الأدوات والصيانة</t>
        </is>
      </c>
      <c r="C74" s="11" t="inlineStr">
        <is>
          <t>قفازات عمل</t>
        </is>
      </c>
      <c r="D74" s="11" t="inlineStr">
        <is>
          <t>work gloves</t>
        </is>
      </c>
      <c r="E74" s="12" t="n">
        <v>25</v>
      </c>
      <c r="F74" s="10" t="inlineStr">
        <is>
          <t>تقدير</t>
        </is>
      </c>
      <c r="G74" s="10" t="inlineStr">
        <is>
          <t>تقدير</t>
        </is>
      </c>
      <c r="H74" s="10" t="inlineStr">
        <is>
          <t>لم تُفحص</t>
        </is>
      </c>
      <c r="I74" s="10" t="inlineStr">
        <is>
          <t>لم يُفحص</t>
        </is>
      </c>
      <c r="J74" s="13" t="n">
        <v>1.2</v>
      </c>
      <c r="K74" s="11" t="inlineStr">
        <is>
          <t>تقدير</t>
        </is>
      </c>
      <c r="L74" s="14" t="n">
        <v>0.1</v>
      </c>
      <c r="M74" s="10" t="inlineStr">
        <is>
          <t>صغير</t>
        </is>
      </c>
      <c r="N74" s="11" t="inlineStr">
        <is>
          <t>طوال السنة</t>
        </is>
      </c>
      <c r="O74" s="11" t="inlineStr">
        <is>
          <t>لا</t>
        </is>
      </c>
      <c r="P74" s="15" t="n">
        <v>0.14</v>
      </c>
      <c r="Q74" s="14" t="n">
        <v>6</v>
      </c>
      <c r="R74" s="14" t="n">
        <v>50</v>
      </c>
      <c r="S74" s="16">
        <f>J74*'الافتراضات'!$B$2*(1+'الافتراضات'!$B$3)</f>
        <v/>
      </c>
      <c r="T74" s="16">
        <f>L74*'الافتراضات'!$B$4</f>
        <v/>
      </c>
      <c r="U74" s="16">
        <f>(S74+T74)*'الافتراضات'!$B$5</f>
        <v/>
      </c>
      <c r="V74" s="16">
        <f>S74+T74+U74</f>
        <v/>
      </c>
      <c r="W74" s="16">
        <f>MAX(1,E74*P74)</f>
        <v/>
      </c>
      <c r="X74" s="16">
        <f>E74*'الافتراضات'!$B$7</f>
        <v/>
      </c>
      <c r="Y74" s="16">
        <f>E74*'الافتراضات'!$B$8</f>
        <v/>
      </c>
      <c r="Z74" s="16">
        <f>E74/(1+'الافتراضات'!$B$6)</f>
        <v/>
      </c>
      <c r="AA74" s="16">
        <f>Z74-V74-W74-Q74-X74-Y74</f>
        <v/>
      </c>
      <c r="AB74" s="17">
        <f>IF(Z74=0,0,AA74/Z74)</f>
        <v/>
      </c>
      <c r="AC74" s="17">
        <f>IF(V74=0,0,AA74/V74)</f>
        <v/>
      </c>
      <c r="AD74" s="18">
        <f>R74*V74</f>
        <v/>
      </c>
      <c r="AE74" s="16">
        <f>IF(AB74&gt;='الافتراضات'!$B$9,IF(O74="لا","ابدأ به","جيد – يحتاج شهادة"),IF(AB74&gt;='الافتراضات'!$B$10,"مقبول","ضعيف"))</f>
        <v/>
      </c>
      <c r="AF74" s="16">
        <f>IF((1-'الافتراضات'!$B$9)/(1+'الافتراضات'!$B$6)-P74-'الافتراضات'!$B$7-'الافتراضات'!$B$8&lt;=0,0,(V74+Q74)/((1-'الافتراضات'!$B$9)/(1+'الافتراضات'!$B$6)-P74-'الافتراضات'!$B$7-'الافتراضات'!$B$8))</f>
        <v/>
      </c>
    </row>
    <row r="75">
      <c r="A75" s="10" t="n">
        <v>74</v>
      </c>
      <c r="B75" s="11" t="inlineStr">
        <is>
          <t>إكسسوارات الجوال والإلكترونيات</t>
        </is>
      </c>
      <c r="C75" s="11" t="inlineStr">
        <is>
          <t>لوحة رسم رقمية صغيرة</t>
        </is>
      </c>
      <c r="D75" s="11" t="inlineStr">
        <is>
          <t>small graphics drawing tablet</t>
        </is>
      </c>
      <c r="E75" s="12" t="n">
        <v>124</v>
      </c>
      <c r="F75" s="10" t="inlineStr">
        <is>
          <t>تقدير</t>
        </is>
      </c>
      <c r="G75" s="10" t="inlineStr">
        <is>
          <t>تقدير</t>
        </is>
      </c>
      <c r="H75" s="10" t="inlineStr">
        <is>
          <t>لم تُفحص</t>
        </is>
      </c>
      <c r="I75" s="10" t="inlineStr">
        <is>
          <t>لم يُفحص</t>
        </is>
      </c>
      <c r="J75" s="13" t="n">
        <v>11</v>
      </c>
      <c r="K75" s="11" t="inlineStr">
        <is>
          <t>تقدير</t>
        </is>
      </c>
      <c r="L75" s="14" t="n">
        <v>0.5</v>
      </c>
      <c r="M75" s="10" t="inlineStr">
        <is>
          <t>متوسط</t>
        </is>
      </c>
      <c r="N75" s="11" t="inlineStr">
        <is>
          <t>طوال السنة</t>
        </is>
      </c>
      <c r="O75" s="11" t="inlineStr">
        <is>
          <t>SABER</t>
        </is>
      </c>
      <c r="P75" s="15" t="n">
        <v>0.13</v>
      </c>
      <c r="Q75" s="14" t="n">
        <v>9.5</v>
      </c>
      <c r="R75" s="14" t="n">
        <v>50</v>
      </c>
      <c r="S75" s="16">
        <f>J75*'الافتراضات'!$B$2*(1+'الافتراضات'!$B$3)</f>
        <v/>
      </c>
      <c r="T75" s="16">
        <f>L75*'الافتراضات'!$B$4</f>
        <v/>
      </c>
      <c r="U75" s="16">
        <f>(S75+T75)*'الافتراضات'!$B$5</f>
        <v/>
      </c>
      <c r="V75" s="16">
        <f>S75+T75+U75</f>
        <v/>
      </c>
      <c r="W75" s="16">
        <f>MAX(1,E75*P75)</f>
        <v/>
      </c>
      <c r="X75" s="16">
        <f>E75*'الافتراضات'!$B$7</f>
        <v/>
      </c>
      <c r="Y75" s="16">
        <f>E75*'الافتراضات'!$B$8</f>
        <v/>
      </c>
      <c r="Z75" s="16">
        <f>E75/(1+'الافتراضات'!$B$6)</f>
        <v/>
      </c>
      <c r="AA75" s="16">
        <f>Z75-V75-W75-Q75-X75-Y75</f>
        <v/>
      </c>
      <c r="AB75" s="17">
        <f>IF(Z75=0,0,AA75/Z75)</f>
        <v/>
      </c>
      <c r="AC75" s="17">
        <f>IF(V75=0,0,AA75/V75)</f>
        <v/>
      </c>
      <c r="AD75" s="18">
        <f>R75*V75</f>
        <v/>
      </c>
      <c r="AE75" s="16">
        <f>IF(AB75&gt;='الافتراضات'!$B$9,IF(O75="لا","ابدأ به","جيد – يحتاج شهادة"),IF(AB75&gt;='الافتراضات'!$B$10,"مقبول","ضعيف"))</f>
        <v/>
      </c>
      <c r="AF75" s="16">
        <f>IF((1-'الافتراضات'!$B$9)/(1+'الافتراضات'!$B$6)-P75-'الافتراضات'!$B$7-'الافتراضات'!$B$8&lt;=0,0,(V75+Q75)/((1-'الافتراضات'!$B$9)/(1+'الافتراضات'!$B$6)-P75-'الافتراضات'!$B$7-'الافتراضات'!$B$8))</f>
        <v/>
      </c>
    </row>
    <row r="76">
      <c r="A76" s="10" t="n">
        <v>75</v>
      </c>
      <c r="B76" s="11" t="inlineStr">
        <is>
          <t>التنظيف والغسيل</t>
        </is>
      </c>
      <c r="C76" s="11" t="inlineStr">
        <is>
          <t>مكنسة يدوية صغيرة للمنزل</t>
        </is>
      </c>
      <c r="D76" s="11" t="inlineStr">
        <is>
          <t>handheld vacuum cleaner</t>
        </is>
      </c>
      <c r="E76" s="12" t="n">
        <v>124</v>
      </c>
      <c r="F76" s="10" t="inlineStr">
        <is>
          <t>تقدير</t>
        </is>
      </c>
      <c r="G76" s="10" t="inlineStr">
        <is>
          <t>تقدير</t>
        </is>
      </c>
      <c r="H76" s="10" t="inlineStr">
        <is>
          <t>لم تُفحص</t>
        </is>
      </c>
      <c r="I76" s="10" t="inlineStr">
        <is>
          <t>لم يُفحص</t>
        </is>
      </c>
      <c r="J76" s="13" t="n">
        <v>11</v>
      </c>
      <c r="K76" s="11" t="inlineStr">
        <is>
          <t>تقدير</t>
        </is>
      </c>
      <c r="L76" s="14" t="n">
        <v>0.9</v>
      </c>
      <c r="M76" s="10" t="inlineStr">
        <is>
          <t>متوسط</t>
        </is>
      </c>
      <c r="N76" s="11" t="inlineStr">
        <is>
          <t>طوال السنة</t>
        </is>
      </c>
      <c r="O76" s="11" t="inlineStr">
        <is>
          <t>SABER + بطارية ليثيوم</t>
        </is>
      </c>
      <c r="P76" s="15" t="n">
        <v>0.1</v>
      </c>
      <c r="Q76" s="14" t="n">
        <v>10</v>
      </c>
      <c r="R76" s="14" t="n">
        <v>50</v>
      </c>
      <c r="S76" s="16">
        <f>J76*'الافتراضات'!$B$2*(1+'الافتراضات'!$B$3)</f>
        <v/>
      </c>
      <c r="T76" s="16">
        <f>L76*'الافتراضات'!$B$4</f>
        <v/>
      </c>
      <c r="U76" s="16">
        <f>(S76+T76)*'الافتراضات'!$B$5</f>
        <v/>
      </c>
      <c r="V76" s="16">
        <f>S76+T76+U76</f>
        <v/>
      </c>
      <c r="W76" s="16">
        <f>MAX(1,E76*P76)</f>
        <v/>
      </c>
      <c r="X76" s="16">
        <f>E76*'الافتراضات'!$B$7</f>
        <v/>
      </c>
      <c r="Y76" s="16">
        <f>E76*'الافتراضات'!$B$8</f>
        <v/>
      </c>
      <c r="Z76" s="16">
        <f>E76/(1+'الافتراضات'!$B$6)</f>
        <v/>
      </c>
      <c r="AA76" s="16">
        <f>Z76-V76-W76-Q76-X76-Y76</f>
        <v/>
      </c>
      <c r="AB76" s="17">
        <f>IF(Z76=0,0,AA76/Z76)</f>
        <v/>
      </c>
      <c r="AC76" s="17">
        <f>IF(V76=0,0,AA76/V76)</f>
        <v/>
      </c>
      <c r="AD76" s="18">
        <f>R76*V76</f>
        <v/>
      </c>
      <c r="AE76" s="16">
        <f>IF(AB76&gt;='الافتراضات'!$B$9,IF(O76="لا","ابدأ به","جيد – يحتاج شهادة"),IF(AB76&gt;='الافتراضات'!$B$10,"مقبول","ضعيف"))</f>
        <v/>
      </c>
      <c r="AF76" s="16">
        <f>IF((1-'الافتراضات'!$B$9)/(1+'الافتراضات'!$B$6)-P76-'الافتراضات'!$B$7-'الافتراضات'!$B$8&lt;=0,0,(V76+Q76)/((1-'الافتراضات'!$B$9)/(1+'الافتراضات'!$B$6)-P76-'الافتراضات'!$B$7-'الافتراضات'!$B$8))</f>
        <v/>
      </c>
    </row>
    <row r="77">
      <c r="A77" s="10" t="n">
        <v>76</v>
      </c>
      <c r="B77" s="11" t="inlineStr">
        <is>
          <t>إكسسوارات الجوال والإلكترونيات</t>
        </is>
      </c>
      <c r="C77" s="11" t="inlineStr">
        <is>
          <t>مقوي إشارة واي فاي</t>
        </is>
      </c>
      <c r="D77" s="11" t="inlineStr">
        <is>
          <t>wifi extender repeater</t>
        </is>
      </c>
      <c r="E77" s="12" t="n">
        <v>57</v>
      </c>
      <c r="F77" s="10" t="inlineStr">
        <is>
          <t>تقدير</t>
        </is>
      </c>
      <c r="G77" s="10" t="inlineStr">
        <is>
          <t>تقدير</t>
        </is>
      </c>
      <c r="H77" s="10" t="inlineStr">
        <is>
          <t>لم تُفحص</t>
        </is>
      </c>
      <c r="I77" s="10" t="inlineStr">
        <is>
          <t>لم يُفحص</t>
        </is>
      </c>
      <c r="J77" s="13" t="n">
        <v>5</v>
      </c>
      <c r="K77" s="11" t="inlineStr">
        <is>
          <t>تقدير</t>
        </is>
      </c>
      <c r="L77" s="14" t="n">
        <v>0.2</v>
      </c>
      <c r="M77" s="10" t="inlineStr">
        <is>
          <t>صغير</t>
        </is>
      </c>
      <c r="N77" s="11" t="inlineStr">
        <is>
          <t>طوال السنة</t>
        </is>
      </c>
      <c r="O77" s="11" t="inlineStr">
        <is>
          <t>SABER</t>
        </is>
      </c>
      <c r="P77" s="15" t="n">
        <v>0.06</v>
      </c>
      <c r="Q77" s="14" t="n">
        <v>9</v>
      </c>
      <c r="R77" s="14" t="n">
        <v>50</v>
      </c>
      <c r="S77" s="16">
        <f>J77*'الافتراضات'!$B$2*(1+'الافتراضات'!$B$3)</f>
        <v/>
      </c>
      <c r="T77" s="16">
        <f>L77*'الافتراضات'!$B$4</f>
        <v/>
      </c>
      <c r="U77" s="16">
        <f>(S77+T77)*'الافتراضات'!$B$5</f>
        <v/>
      </c>
      <c r="V77" s="16">
        <f>S77+T77+U77</f>
        <v/>
      </c>
      <c r="W77" s="16">
        <f>MAX(1,E77*P77)</f>
        <v/>
      </c>
      <c r="X77" s="16">
        <f>E77*'الافتراضات'!$B$7</f>
        <v/>
      </c>
      <c r="Y77" s="16">
        <f>E77*'الافتراضات'!$B$8</f>
        <v/>
      </c>
      <c r="Z77" s="16">
        <f>E77/(1+'الافتراضات'!$B$6)</f>
        <v/>
      </c>
      <c r="AA77" s="16">
        <f>Z77-V77-W77-Q77-X77-Y77</f>
        <v/>
      </c>
      <c r="AB77" s="17">
        <f>IF(Z77=0,0,AA77/Z77)</f>
        <v/>
      </c>
      <c r="AC77" s="17">
        <f>IF(V77=0,0,AA77/V77)</f>
        <v/>
      </c>
      <c r="AD77" s="18">
        <f>R77*V77</f>
        <v/>
      </c>
      <c r="AE77" s="16">
        <f>IF(AB77&gt;='الافتراضات'!$B$9,IF(O77="لا","ابدأ به","جيد – يحتاج شهادة"),IF(AB77&gt;='الافتراضات'!$B$10,"مقبول","ضعيف"))</f>
        <v/>
      </c>
      <c r="AF77" s="16">
        <f>IF((1-'الافتراضات'!$B$9)/(1+'الافتراضات'!$B$6)-P77-'الافتراضات'!$B$7-'الافتراضات'!$B$8&lt;=0,0,(V77+Q77)/((1-'الافتراضات'!$B$9)/(1+'الافتراضات'!$B$6)-P77-'الافتراضات'!$B$7-'الافتراضات'!$B$8))</f>
        <v/>
      </c>
    </row>
    <row r="78">
      <c r="A78" s="10" t="n">
        <v>77</v>
      </c>
      <c r="B78" s="11" t="inlineStr">
        <is>
          <t>إكسسوارات الجوال والإلكترونيات</t>
        </is>
      </c>
      <c r="C78" s="11" t="inlineStr">
        <is>
          <t>جهاز تحكم عن بعد عام للتلفزيون</t>
        </is>
      </c>
      <c r="D78" s="11" t="inlineStr">
        <is>
          <t>universal tv remote control</t>
        </is>
      </c>
      <c r="E78" s="12" t="n">
        <v>25</v>
      </c>
      <c r="F78" s="10" t="inlineStr">
        <is>
          <t>تقدير</t>
        </is>
      </c>
      <c r="G78" s="10" t="inlineStr">
        <is>
          <t>تقدير</t>
        </is>
      </c>
      <c r="H78" s="10" t="inlineStr">
        <is>
          <t>لم تُفحص</t>
        </is>
      </c>
      <c r="I78" s="10" t="inlineStr">
        <is>
          <t>لم يُفحص</t>
        </is>
      </c>
      <c r="J78" s="13" t="n">
        <v>1.2</v>
      </c>
      <c r="K78" s="11" t="inlineStr">
        <is>
          <t>تقدير</t>
        </is>
      </c>
      <c r="L78" s="14" t="n">
        <v>0.08</v>
      </c>
      <c r="M78" s="10" t="inlineStr">
        <is>
          <t>صغير</t>
        </is>
      </c>
      <c r="N78" s="11" t="inlineStr">
        <is>
          <t>طوال السنة</t>
        </is>
      </c>
      <c r="O78" s="11" t="inlineStr">
        <is>
          <t>SABER + بطارية ليثيوم</t>
        </is>
      </c>
      <c r="P78" s="15" t="n">
        <v>0.15</v>
      </c>
      <c r="Q78" s="14" t="n">
        <v>6</v>
      </c>
      <c r="R78" s="14" t="n">
        <v>50</v>
      </c>
      <c r="S78" s="16">
        <f>J78*'الافتراضات'!$B$2*(1+'الافتراضات'!$B$3)</f>
        <v/>
      </c>
      <c r="T78" s="16">
        <f>L78*'الافتراضات'!$B$4</f>
        <v/>
      </c>
      <c r="U78" s="16">
        <f>(S78+T78)*'الافتراضات'!$B$5</f>
        <v/>
      </c>
      <c r="V78" s="16">
        <f>S78+T78+U78</f>
        <v/>
      </c>
      <c r="W78" s="16">
        <f>MAX(1,E78*P78)</f>
        <v/>
      </c>
      <c r="X78" s="16">
        <f>E78*'الافتراضات'!$B$7</f>
        <v/>
      </c>
      <c r="Y78" s="16">
        <f>E78*'الافتراضات'!$B$8</f>
        <v/>
      </c>
      <c r="Z78" s="16">
        <f>E78/(1+'الافتراضات'!$B$6)</f>
        <v/>
      </c>
      <c r="AA78" s="16">
        <f>Z78-V78-W78-Q78-X78-Y78</f>
        <v/>
      </c>
      <c r="AB78" s="17">
        <f>IF(Z78=0,0,AA78/Z78)</f>
        <v/>
      </c>
      <c r="AC78" s="17">
        <f>IF(V78=0,0,AA78/V78)</f>
        <v/>
      </c>
      <c r="AD78" s="18">
        <f>R78*V78</f>
        <v/>
      </c>
      <c r="AE78" s="16">
        <f>IF(AB78&gt;='الافتراضات'!$B$9,IF(O78="لا","ابدأ به","جيد – يحتاج شهادة"),IF(AB78&gt;='الافتراضات'!$B$10,"مقبول","ضعيف"))</f>
        <v/>
      </c>
      <c r="AF78" s="16">
        <f>IF((1-'الافتراضات'!$B$9)/(1+'الافتراضات'!$B$6)-P78-'الافتراضات'!$B$7-'الافتراضات'!$B$8&lt;=0,0,(V78+Q78)/((1-'الافتراضات'!$B$9)/(1+'الافتراضات'!$B$6)-P78-'الافتراضات'!$B$7-'الافتراضات'!$B$8))</f>
        <v/>
      </c>
    </row>
    <row r="79">
      <c r="A79" s="10" t="n">
        <v>78</v>
      </c>
      <c r="B79" s="11" t="inlineStr">
        <is>
          <t>إكسسوارات الجوال والإلكترونيات</t>
        </is>
      </c>
      <c r="C79" s="11" t="inlineStr">
        <is>
          <t>كيبورد ميكانيكي ألعاب</t>
        </is>
      </c>
      <c r="D79" s="11" t="inlineStr">
        <is>
          <t>mechanical gaming keyboard</t>
        </is>
      </c>
      <c r="E79" s="12" t="n">
        <v>158</v>
      </c>
      <c r="F79" s="10" t="inlineStr">
        <is>
          <t>تقدير</t>
        </is>
      </c>
      <c r="G79" s="10" t="inlineStr">
        <is>
          <t>تقدير</t>
        </is>
      </c>
      <c r="H79" s="10" t="inlineStr">
        <is>
          <t>لم تُفحص</t>
        </is>
      </c>
      <c r="I79" s="10" t="inlineStr">
        <is>
          <t>لم يُفحص</t>
        </is>
      </c>
      <c r="J79" s="13" t="n">
        <v>14</v>
      </c>
      <c r="K79" s="11" t="inlineStr">
        <is>
          <t>تقدير</t>
        </is>
      </c>
      <c r="L79" s="14" t="n">
        <v>1</v>
      </c>
      <c r="M79" s="10" t="inlineStr">
        <is>
          <t>متوسط</t>
        </is>
      </c>
      <c r="N79" s="11" t="inlineStr">
        <is>
          <t>طوال السنة</t>
        </is>
      </c>
      <c r="O79" s="11" t="inlineStr">
        <is>
          <t>SABER</t>
        </is>
      </c>
      <c r="P79" s="15" t="n">
        <v>0.13</v>
      </c>
      <c r="Q79" s="14" t="n">
        <v>10</v>
      </c>
      <c r="R79" s="14" t="n">
        <v>50</v>
      </c>
      <c r="S79" s="16">
        <f>J79*'الافتراضات'!$B$2*(1+'الافتراضات'!$B$3)</f>
        <v/>
      </c>
      <c r="T79" s="16">
        <f>L79*'الافتراضات'!$B$4</f>
        <v/>
      </c>
      <c r="U79" s="16">
        <f>(S79+T79)*'الافتراضات'!$B$5</f>
        <v/>
      </c>
      <c r="V79" s="16">
        <f>S79+T79+U79</f>
        <v/>
      </c>
      <c r="W79" s="16">
        <f>MAX(1,E79*P79)</f>
        <v/>
      </c>
      <c r="X79" s="16">
        <f>E79*'الافتراضات'!$B$7</f>
        <v/>
      </c>
      <c r="Y79" s="16">
        <f>E79*'الافتراضات'!$B$8</f>
        <v/>
      </c>
      <c r="Z79" s="16">
        <f>E79/(1+'الافتراضات'!$B$6)</f>
        <v/>
      </c>
      <c r="AA79" s="16">
        <f>Z79-V79-W79-Q79-X79-Y79</f>
        <v/>
      </c>
      <c r="AB79" s="17">
        <f>IF(Z79=0,0,AA79/Z79)</f>
        <v/>
      </c>
      <c r="AC79" s="17">
        <f>IF(V79=0,0,AA79/V79)</f>
        <v/>
      </c>
      <c r="AD79" s="18">
        <f>R79*V79</f>
        <v/>
      </c>
      <c r="AE79" s="16">
        <f>IF(AB79&gt;='الافتراضات'!$B$9,IF(O79="لا","ابدأ به","جيد – يحتاج شهادة"),IF(AB79&gt;='الافتراضات'!$B$10,"مقبول","ضعيف"))</f>
        <v/>
      </c>
      <c r="AF79" s="16">
        <f>IF((1-'الافتراضات'!$B$9)/(1+'الافتراضات'!$B$6)-P79-'الافتراضات'!$B$7-'الافتراضات'!$B$8&lt;=0,0,(V79+Q79)/((1-'الافتراضات'!$B$9)/(1+'الافتراضات'!$B$6)-P79-'الافتراضات'!$B$7-'الافتراضات'!$B$8))</f>
        <v/>
      </c>
    </row>
    <row r="80">
      <c r="A80" s="10" t="n">
        <v>79</v>
      </c>
      <c r="B80" s="11" t="inlineStr">
        <is>
          <t>إكسسوارات الجوال والإلكترونيات</t>
        </is>
      </c>
      <c r="C80" s="11" t="inlineStr">
        <is>
          <t>ساعة ذكية رياضية</t>
        </is>
      </c>
      <c r="D80" s="11" t="inlineStr">
        <is>
          <t>smart watch fitness tracker</t>
        </is>
      </c>
      <c r="E80" s="12" t="n">
        <v>102</v>
      </c>
      <c r="F80" s="10" t="inlineStr">
        <is>
          <t>تقدير</t>
        </is>
      </c>
      <c r="G80" s="10" t="inlineStr">
        <is>
          <t>تقدير</t>
        </is>
      </c>
      <c r="H80" s="10" t="inlineStr">
        <is>
          <t>لم تُفحص</t>
        </is>
      </c>
      <c r="I80" s="10" t="inlineStr">
        <is>
          <t>لم يُفحص</t>
        </is>
      </c>
      <c r="J80" s="13" t="n">
        <v>9</v>
      </c>
      <c r="K80" s="11" t="inlineStr">
        <is>
          <t>تقدير</t>
        </is>
      </c>
      <c r="L80" s="14" t="n">
        <v>0.15</v>
      </c>
      <c r="M80" s="10" t="inlineStr">
        <is>
          <t>صغير</t>
        </is>
      </c>
      <c r="N80" s="11" t="inlineStr">
        <is>
          <t>طوال السنة</t>
        </is>
      </c>
      <c r="O80" s="11" t="inlineStr">
        <is>
          <t>SABER + بطارية ليثيوم</t>
        </is>
      </c>
      <c r="P80" s="15" t="n">
        <v>0.15</v>
      </c>
      <c r="Q80" s="14" t="n">
        <v>9</v>
      </c>
      <c r="R80" s="14" t="n">
        <v>50</v>
      </c>
      <c r="S80" s="16">
        <f>J80*'الافتراضات'!$B$2*(1+'الافتراضات'!$B$3)</f>
        <v/>
      </c>
      <c r="T80" s="16">
        <f>L80*'الافتراضات'!$B$4</f>
        <v/>
      </c>
      <c r="U80" s="16">
        <f>(S80+T80)*'الافتراضات'!$B$5</f>
        <v/>
      </c>
      <c r="V80" s="16">
        <f>S80+T80+U80</f>
        <v/>
      </c>
      <c r="W80" s="16">
        <f>MAX(1,E80*P80)</f>
        <v/>
      </c>
      <c r="X80" s="16">
        <f>E80*'الافتراضات'!$B$7</f>
        <v/>
      </c>
      <c r="Y80" s="16">
        <f>E80*'الافتراضات'!$B$8</f>
        <v/>
      </c>
      <c r="Z80" s="16">
        <f>E80/(1+'الافتراضات'!$B$6)</f>
        <v/>
      </c>
      <c r="AA80" s="16">
        <f>Z80-V80-W80-Q80-X80-Y80</f>
        <v/>
      </c>
      <c r="AB80" s="17">
        <f>IF(Z80=0,0,AA80/Z80)</f>
        <v/>
      </c>
      <c r="AC80" s="17">
        <f>IF(V80=0,0,AA80/V80)</f>
        <v/>
      </c>
      <c r="AD80" s="18">
        <f>R80*V80</f>
        <v/>
      </c>
      <c r="AE80" s="16">
        <f>IF(AB80&gt;='الافتراضات'!$B$9,IF(O80="لا","ابدأ به","جيد – يحتاج شهادة"),IF(AB80&gt;='الافتراضات'!$B$10,"مقبول","ضعيف"))</f>
        <v/>
      </c>
      <c r="AF80" s="16">
        <f>IF((1-'الافتراضات'!$B$9)/(1+'الافتراضات'!$B$6)-P80-'الافتراضات'!$B$7-'الافتراضات'!$B$8&lt;=0,0,(V80+Q80)/((1-'الافتراضات'!$B$9)/(1+'الافتراضات'!$B$6)-P80-'الافتراضات'!$B$7-'الافتراضات'!$B$8))</f>
        <v/>
      </c>
    </row>
    <row r="81">
      <c r="A81" s="10" t="n">
        <v>80</v>
      </c>
      <c r="B81" s="11" t="inlineStr">
        <is>
          <t>الرياضة واللياقة</t>
        </is>
      </c>
      <c r="C81" s="11" t="inlineStr">
        <is>
          <t>حزام يوغا</t>
        </is>
      </c>
      <c r="D81" s="11" t="inlineStr">
        <is>
          <t>yoga strap</t>
        </is>
      </c>
      <c r="E81" s="12" t="n">
        <v>25</v>
      </c>
      <c r="F81" s="10" t="inlineStr">
        <is>
          <t>تقدير</t>
        </is>
      </c>
      <c r="G81" s="10" t="inlineStr">
        <is>
          <t>تقدير</t>
        </is>
      </c>
      <c r="H81" s="10" t="inlineStr">
        <is>
          <t>لم تُفحص</t>
        </is>
      </c>
      <c r="I81" s="10" t="inlineStr">
        <is>
          <t>لم يُفحص</t>
        </is>
      </c>
      <c r="J81" s="13" t="n">
        <v>0.9</v>
      </c>
      <c r="K81" s="11" t="inlineStr">
        <is>
          <t>تقدير</t>
        </is>
      </c>
      <c r="L81" s="14" t="n">
        <v>0.1</v>
      </c>
      <c r="M81" s="10" t="inlineStr">
        <is>
          <t>صغير</t>
        </is>
      </c>
      <c r="N81" s="11" t="inlineStr">
        <is>
          <t>طوال السنة</t>
        </is>
      </c>
      <c r="O81" s="11" t="inlineStr">
        <is>
          <t>لا</t>
        </is>
      </c>
      <c r="P81" s="15" t="n">
        <v>0.2</v>
      </c>
      <c r="Q81" s="14" t="n">
        <v>6</v>
      </c>
      <c r="R81" s="14" t="n">
        <v>50</v>
      </c>
      <c r="S81" s="16">
        <f>J81*'الافتراضات'!$B$2*(1+'الافتراضات'!$B$3)</f>
        <v/>
      </c>
      <c r="T81" s="16">
        <f>L81*'الافتراضات'!$B$4</f>
        <v/>
      </c>
      <c r="U81" s="16">
        <f>(S81+T81)*'الافتراضات'!$B$5</f>
        <v/>
      </c>
      <c r="V81" s="16">
        <f>S81+T81+U81</f>
        <v/>
      </c>
      <c r="W81" s="16">
        <f>MAX(1,E81*P81)</f>
        <v/>
      </c>
      <c r="X81" s="16">
        <f>E81*'الافتراضات'!$B$7</f>
        <v/>
      </c>
      <c r="Y81" s="16">
        <f>E81*'الافتراضات'!$B$8</f>
        <v/>
      </c>
      <c r="Z81" s="16">
        <f>E81/(1+'الافتراضات'!$B$6)</f>
        <v/>
      </c>
      <c r="AA81" s="16">
        <f>Z81-V81-W81-Q81-X81-Y81</f>
        <v/>
      </c>
      <c r="AB81" s="17">
        <f>IF(Z81=0,0,AA81/Z81)</f>
        <v/>
      </c>
      <c r="AC81" s="17">
        <f>IF(V81=0,0,AA81/V81)</f>
        <v/>
      </c>
      <c r="AD81" s="18">
        <f>R81*V81</f>
        <v/>
      </c>
      <c r="AE81" s="16">
        <f>IF(AB81&gt;='الافتراضات'!$B$9,IF(O81="لا","ابدأ به","جيد – يحتاج شهادة"),IF(AB81&gt;='الافتراضات'!$B$10,"مقبول","ضعيف"))</f>
        <v/>
      </c>
      <c r="AF81" s="16">
        <f>IF((1-'الافتراضات'!$B$9)/(1+'الافتراضات'!$B$6)-P81-'الافتراضات'!$B$7-'الافتراضات'!$B$8&lt;=0,0,(V81+Q81)/((1-'الافتراضات'!$B$9)/(1+'الافتراضات'!$B$6)-P81-'الافتراضات'!$B$7-'الافتراضات'!$B$8))</f>
        <v/>
      </c>
    </row>
    <row r="82">
      <c r="A82" s="10" t="n">
        <v>81</v>
      </c>
      <c r="B82" s="11" t="inlineStr">
        <is>
          <t>الحقائب والسفر</t>
        </is>
      </c>
      <c r="C82" s="11" t="inlineStr">
        <is>
          <t>ملصقات تحديد الحقائب</t>
        </is>
      </c>
      <c r="D82" s="11" t="inlineStr">
        <is>
          <t>luggage tags set</t>
        </is>
      </c>
      <c r="E82" s="12" t="n">
        <v>25</v>
      </c>
      <c r="F82" s="10" t="inlineStr">
        <is>
          <t>تقدير</t>
        </is>
      </c>
      <c r="G82" s="10" t="inlineStr">
        <is>
          <t>تقدير</t>
        </is>
      </c>
      <c r="H82" s="10" t="inlineStr">
        <is>
          <t>لم تُفحص</t>
        </is>
      </c>
      <c r="I82" s="10" t="inlineStr">
        <is>
          <t>لم يُفحص</t>
        </is>
      </c>
      <c r="J82" s="13" t="n">
        <v>1</v>
      </c>
      <c r="K82" s="11" t="inlineStr">
        <is>
          <t>تقدير</t>
        </is>
      </c>
      <c r="L82" s="14" t="n">
        <v>0.05</v>
      </c>
      <c r="M82" s="10" t="inlineStr">
        <is>
          <t>صغير</t>
        </is>
      </c>
      <c r="N82" s="11" t="inlineStr">
        <is>
          <t>طوال السنة</t>
        </is>
      </c>
      <c r="O82" s="11" t="inlineStr">
        <is>
          <t>لا</t>
        </is>
      </c>
      <c r="P82" s="15" t="n">
        <v>0.2</v>
      </c>
      <c r="Q82" s="14" t="n">
        <v>6</v>
      </c>
      <c r="R82" s="14" t="n">
        <v>50</v>
      </c>
      <c r="S82" s="16">
        <f>J82*'الافتراضات'!$B$2*(1+'الافتراضات'!$B$3)</f>
        <v/>
      </c>
      <c r="T82" s="16">
        <f>L82*'الافتراضات'!$B$4</f>
        <v/>
      </c>
      <c r="U82" s="16">
        <f>(S82+T82)*'الافتراضات'!$B$5</f>
        <v/>
      </c>
      <c r="V82" s="16">
        <f>S82+T82+U82</f>
        <v/>
      </c>
      <c r="W82" s="16">
        <f>MAX(1,E82*P82)</f>
        <v/>
      </c>
      <c r="X82" s="16">
        <f>E82*'الافتراضات'!$B$7</f>
        <v/>
      </c>
      <c r="Y82" s="16">
        <f>E82*'الافتراضات'!$B$8</f>
        <v/>
      </c>
      <c r="Z82" s="16">
        <f>E82/(1+'الافتراضات'!$B$6)</f>
        <v/>
      </c>
      <c r="AA82" s="16">
        <f>Z82-V82-W82-Q82-X82-Y82</f>
        <v/>
      </c>
      <c r="AB82" s="17">
        <f>IF(Z82=0,0,AA82/Z82)</f>
        <v/>
      </c>
      <c r="AC82" s="17">
        <f>IF(V82=0,0,AA82/V82)</f>
        <v/>
      </c>
      <c r="AD82" s="18">
        <f>R82*V82</f>
        <v/>
      </c>
      <c r="AE82" s="16">
        <f>IF(AB82&gt;='الافتراضات'!$B$9,IF(O82="لا","ابدأ به","جيد – يحتاج شهادة"),IF(AB82&gt;='الافتراضات'!$B$10,"مقبول","ضعيف"))</f>
        <v/>
      </c>
      <c r="AF82" s="16">
        <f>IF((1-'الافتراضات'!$B$9)/(1+'الافتراضات'!$B$6)-P82-'الافتراضات'!$B$7-'الافتراضات'!$B$8&lt;=0,0,(V82+Q82)/((1-'الافتراضات'!$B$9)/(1+'الافتراضات'!$B$6)-P82-'الافتراضات'!$B$7-'الافتراضات'!$B$8))</f>
        <v/>
      </c>
    </row>
    <row r="83">
      <c r="A83" s="10" t="n">
        <v>82</v>
      </c>
      <c r="B83" s="11" t="inlineStr">
        <is>
          <t>السيارات والدراجات</t>
        </is>
      </c>
      <c r="C83" s="11" t="inlineStr">
        <is>
          <t>حامل دراجات للسيارة</t>
        </is>
      </c>
      <c r="D83" s="11" t="inlineStr">
        <is>
          <t>bike carrier car rack</t>
        </is>
      </c>
      <c r="E83" s="12" t="n">
        <v>396</v>
      </c>
      <c r="F83" s="10" t="inlineStr">
        <is>
          <t>تقدير</t>
        </is>
      </c>
      <c r="G83" s="10" t="inlineStr">
        <is>
          <t>تقدير</t>
        </is>
      </c>
      <c r="H83" s="10" t="inlineStr">
        <is>
          <t>لم تُفحص</t>
        </is>
      </c>
      <c r="I83" s="10" t="inlineStr">
        <is>
          <t>لم يُفحص</t>
        </is>
      </c>
      <c r="J83" s="13" t="n">
        <v>35</v>
      </c>
      <c r="K83" s="11" t="inlineStr">
        <is>
          <t>تقدير</t>
        </is>
      </c>
      <c r="L83" s="14" t="n">
        <v>5</v>
      </c>
      <c r="M83" s="10" t="inlineStr">
        <is>
          <t>كبير</t>
        </is>
      </c>
      <c r="N83" s="11" t="inlineStr">
        <is>
          <t>طوال السنة</t>
        </is>
      </c>
      <c r="O83" s="11" t="inlineStr">
        <is>
          <t>لا</t>
        </is>
      </c>
      <c r="P83" s="15" t="n">
        <v>0.1</v>
      </c>
      <c r="Q83" s="14" t="n">
        <v>18</v>
      </c>
      <c r="R83" s="14" t="n">
        <v>50</v>
      </c>
      <c r="S83" s="16">
        <f>J83*'الافتراضات'!$B$2*(1+'الافتراضات'!$B$3)</f>
        <v/>
      </c>
      <c r="T83" s="16">
        <f>L83*'الافتراضات'!$B$4</f>
        <v/>
      </c>
      <c r="U83" s="16">
        <f>(S83+T83)*'الافتراضات'!$B$5</f>
        <v/>
      </c>
      <c r="V83" s="16">
        <f>S83+T83+U83</f>
        <v/>
      </c>
      <c r="W83" s="16">
        <f>MAX(1,E83*P83)</f>
        <v/>
      </c>
      <c r="X83" s="16">
        <f>E83*'الافتراضات'!$B$7</f>
        <v/>
      </c>
      <c r="Y83" s="16">
        <f>E83*'الافتراضات'!$B$8</f>
        <v/>
      </c>
      <c r="Z83" s="16">
        <f>E83/(1+'الافتراضات'!$B$6)</f>
        <v/>
      </c>
      <c r="AA83" s="16">
        <f>Z83-V83-W83-Q83-X83-Y83</f>
        <v/>
      </c>
      <c r="AB83" s="17">
        <f>IF(Z83=0,0,AA83/Z83)</f>
        <v/>
      </c>
      <c r="AC83" s="17">
        <f>IF(V83=0,0,AA83/V83)</f>
        <v/>
      </c>
      <c r="AD83" s="18">
        <f>R83*V83</f>
        <v/>
      </c>
      <c r="AE83" s="16">
        <f>IF(AB83&gt;='الافتراضات'!$B$9,IF(O83="لا","ابدأ به","جيد – يحتاج شهادة"),IF(AB83&gt;='الافتراضات'!$B$10,"مقبول","ضعيف"))</f>
        <v/>
      </c>
      <c r="AF83" s="16">
        <f>IF((1-'الافتراضات'!$B$9)/(1+'الافتراضات'!$B$6)-P83-'الافتراضات'!$B$7-'الافتراضات'!$B$8&lt;=0,0,(V83+Q83)/((1-'الافتراضات'!$B$9)/(1+'الافتراضات'!$B$6)-P83-'الافتراضات'!$B$7-'الافتراضات'!$B$8))</f>
        <v/>
      </c>
    </row>
    <row r="84">
      <c r="A84" s="10" t="n">
        <v>83</v>
      </c>
      <c r="B84" s="11" t="inlineStr">
        <is>
          <t>الحيوانات الأليفة</t>
        </is>
      </c>
      <c r="C84" s="11" t="inlineStr">
        <is>
          <t>مقص أظافر حيوانات</t>
        </is>
      </c>
      <c r="D84" s="11" t="inlineStr">
        <is>
          <t>pet nail clipper</t>
        </is>
      </c>
      <c r="E84" s="12" t="n">
        <v>25</v>
      </c>
      <c r="F84" s="10" t="inlineStr">
        <is>
          <t>تقدير</t>
        </is>
      </c>
      <c r="G84" s="10" t="inlineStr">
        <is>
          <t>تقدير</t>
        </is>
      </c>
      <c r="H84" s="10" t="inlineStr">
        <is>
          <t>لم تُفحص</t>
        </is>
      </c>
      <c r="I84" s="10" t="inlineStr">
        <is>
          <t>لم يُفحص</t>
        </is>
      </c>
      <c r="J84" s="13" t="n">
        <v>1.2</v>
      </c>
      <c r="K84" s="11" t="inlineStr">
        <is>
          <t>تقدير</t>
        </is>
      </c>
      <c r="L84" s="14" t="n">
        <v>0.1</v>
      </c>
      <c r="M84" s="10" t="inlineStr">
        <is>
          <t>صغير</t>
        </is>
      </c>
      <c r="N84" s="11" t="inlineStr">
        <is>
          <t>طوال السنة</t>
        </is>
      </c>
      <c r="O84" s="11" t="inlineStr">
        <is>
          <t>لا</t>
        </is>
      </c>
      <c r="P84" s="15" t="n">
        <v>0.15</v>
      </c>
      <c r="Q84" s="14" t="n">
        <v>6</v>
      </c>
      <c r="R84" s="14" t="n">
        <v>50</v>
      </c>
      <c r="S84" s="16">
        <f>J84*'الافتراضات'!$B$2*(1+'الافتراضات'!$B$3)</f>
        <v/>
      </c>
      <c r="T84" s="16">
        <f>L84*'الافتراضات'!$B$4</f>
        <v/>
      </c>
      <c r="U84" s="16">
        <f>(S84+T84)*'الافتراضات'!$B$5</f>
        <v/>
      </c>
      <c r="V84" s="16">
        <f>S84+T84+U84</f>
        <v/>
      </c>
      <c r="W84" s="16">
        <f>MAX(1,E84*P84)</f>
        <v/>
      </c>
      <c r="X84" s="16">
        <f>E84*'الافتراضات'!$B$7</f>
        <v/>
      </c>
      <c r="Y84" s="16">
        <f>E84*'الافتراضات'!$B$8</f>
        <v/>
      </c>
      <c r="Z84" s="16">
        <f>E84/(1+'الافتراضات'!$B$6)</f>
        <v/>
      </c>
      <c r="AA84" s="16">
        <f>Z84-V84-W84-Q84-X84-Y84</f>
        <v/>
      </c>
      <c r="AB84" s="17">
        <f>IF(Z84=0,0,AA84/Z84)</f>
        <v/>
      </c>
      <c r="AC84" s="17">
        <f>IF(V84=0,0,AA84/V84)</f>
        <v/>
      </c>
      <c r="AD84" s="18">
        <f>R84*V84</f>
        <v/>
      </c>
      <c r="AE84" s="16">
        <f>IF(AB84&gt;='الافتراضات'!$B$9,IF(O84="لا","ابدأ به","جيد – يحتاج شهادة"),IF(AB84&gt;='الافتراضات'!$B$10,"مقبول","ضعيف"))</f>
        <v/>
      </c>
      <c r="AF84" s="16">
        <f>IF((1-'الافتراضات'!$B$9)/(1+'الافتراضات'!$B$6)-P84-'الافتراضات'!$B$7-'الافتراضات'!$B$8&lt;=0,0,(V84+Q84)/((1-'الافتراضات'!$B$9)/(1+'الافتراضات'!$B$6)-P84-'الافتراضات'!$B$7-'الافتراضات'!$B$8))</f>
        <v/>
      </c>
    </row>
    <row r="85">
      <c r="A85" s="10" t="n">
        <v>84</v>
      </c>
      <c r="B85" s="11" t="inlineStr">
        <is>
          <t>السيارات والدراجات</t>
        </is>
      </c>
      <c r="C85" s="11" t="inlineStr">
        <is>
          <t>محول مقبس السيارة 3 منافذ</t>
        </is>
      </c>
      <c r="D85" s="11" t="inlineStr">
        <is>
          <t>car cigarette lighter splitter</t>
        </is>
      </c>
      <c r="E85" s="12" t="n">
        <v>25</v>
      </c>
      <c r="F85" s="10" t="inlineStr">
        <is>
          <t>تقدير</t>
        </is>
      </c>
      <c r="G85" s="10" t="inlineStr">
        <is>
          <t>تقدير</t>
        </is>
      </c>
      <c r="H85" s="10" t="inlineStr">
        <is>
          <t>لم تُفحص</t>
        </is>
      </c>
      <c r="I85" s="10" t="inlineStr">
        <is>
          <t>لم يُفحص</t>
        </is>
      </c>
      <c r="J85" s="13" t="n">
        <v>1.5</v>
      </c>
      <c r="K85" s="11" t="inlineStr">
        <is>
          <t>تقدير</t>
        </is>
      </c>
      <c r="L85" s="14" t="n">
        <v>0.1</v>
      </c>
      <c r="M85" s="10" t="inlineStr">
        <is>
          <t>صغير</t>
        </is>
      </c>
      <c r="N85" s="11" t="inlineStr">
        <is>
          <t>طوال السنة</t>
        </is>
      </c>
      <c r="O85" s="11" t="inlineStr">
        <is>
          <t>SABER</t>
        </is>
      </c>
      <c r="P85" s="15" t="n">
        <v>0.1</v>
      </c>
      <c r="Q85" s="14" t="n">
        <v>6</v>
      </c>
      <c r="R85" s="14" t="n">
        <v>50</v>
      </c>
      <c r="S85" s="16">
        <f>J85*'الافتراضات'!$B$2*(1+'الافتراضات'!$B$3)</f>
        <v/>
      </c>
      <c r="T85" s="16">
        <f>L85*'الافتراضات'!$B$4</f>
        <v/>
      </c>
      <c r="U85" s="16">
        <f>(S85+T85)*'الافتراضات'!$B$5</f>
        <v/>
      </c>
      <c r="V85" s="16">
        <f>S85+T85+U85</f>
        <v/>
      </c>
      <c r="W85" s="16">
        <f>MAX(1,E85*P85)</f>
        <v/>
      </c>
      <c r="X85" s="16">
        <f>E85*'الافتراضات'!$B$7</f>
        <v/>
      </c>
      <c r="Y85" s="16">
        <f>E85*'الافتراضات'!$B$8</f>
        <v/>
      </c>
      <c r="Z85" s="16">
        <f>E85/(1+'الافتراضات'!$B$6)</f>
        <v/>
      </c>
      <c r="AA85" s="16">
        <f>Z85-V85-W85-Q85-X85-Y85</f>
        <v/>
      </c>
      <c r="AB85" s="17">
        <f>IF(Z85=0,0,AA85/Z85)</f>
        <v/>
      </c>
      <c r="AC85" s="17">
        <f>IF(V85=0,0,AA85/V85)</f>
        <v/>
      </c>
      <c r="AD85" s="18">
        <f>R85*V85</f>
        <v/>
      </c>
      <c r="AE85" s="16">
        <f>IF(AB85&gt;='الافتراضات'!$B$9,IF(O85="لا","ابدأ به","جيد – يحتاج شهادة"),IF(AB85&gt;='الافتراضات'!$B$10,"مقبول","ضعيف"))</f>
        <v/>
      </c>
      <c r="AF85" s="16">
        <f>IF((1-'الافتراضات'!$B$9)/(1+'الافتراضات'!$B$6)-P85-'الافتراضات'!$B$7-'الافتراضات'!$B$8&lt;=0,0,(V85+Q85)/((1-'الافتراضات'!$B$9)/(1+'الافتراضات'!$B$6)-P85-'الافتراضات'!$B$7-'الافتراضات'!$B$8))</f>
        <v/>
      </c>
    </row>
    <row r="86">
      <c r="A86" s="10" t="n">
        <v>85</v>
      </c>
      <c r="B86" s="11" t="inlineStr">
        <is>
          <t>السيارات والدراجات</t>
        </is>
      </c>
      <c r="C86" s="11" t="inlineStr">
        <is>
          <t>مصابيح LED للسيارة H4</t>
        </is>
      </c>
      <c r="D86" s="11" t="inlineStr">
        <is>
          <t>car headlight LED bulbs H4</t>
        </is>
      </c>
      <c r="E86" s="12" t="n">
        <v>79</v>
      </c>
      <c r="F86" s="10" t="inlineStr">
        <is>
          <t>تقدير</t>
        </is>
      </c>
      <c r="G86" s="10" t="inlineStr">
        <is>
          <t>تقدير</t>
        </is>
      </c>
      <c r="H86" s="10" t="inlineStr">
        <is>
          <t>لم تُفحص</t>
        </is>
      </c>
      <c r="I86" s="10" t="inlineStr">
        <is>
          <t>لم يُفحص</t>
        </is>
      </c>
      <c r="J86" s="13" t="n">
        <v>7</v>
      </c>
      <c r="K86" s="11" t="inlineStr">
        <is>
          <t>تقدير</t>
        </is>
      </c>
      <c r="L86" s="14" t="n">
        <v>0.3</v>
      </c>
      <c r="M86" s="10" t="inlineStr">
        <is>
          <t>صغير</t>
        </is>
      </c>
      <c r="N86" s="11" t="inlineStr">
        <is>
          <t>طوال السنة</t>
        </is>
      </c>
      <c r="O86" s="11" t="inlineStr">
        <is>
          <t>SABER</t>
        </is>
      </c>
      <c r="P86" s="15" t="n">
        <v>0.1</v>
      </c>
      <c r="Q86" s="14" t="n">
        <v>9.5</v>
      </c>
      <c r="R86" s="14" t="n">
        <v>50</v>
      </c>
      <c r="S86" s="16">
        <f>J86*'الافتراضات'!$B$2*(1+'الافتراضات'!$B$3)</f>
        <v/>
      </c>
      <c r="T86" s="16">
        <f>L86*'الافتراضات'!$B$4</f>
        <v/>
      </c>
      <c r="U86" s="16">
        <f>(S86+T86)*'الافتراضات'!$B$5</f>
        <v/>
      </c>
      <c r="V86" s="16">
        <f>S86+T86+U86</f>
        <v/>
      </c>
      <c r="W86" s="16">
        <f>MAX(1,E86*P86)</f>
        <v/>
      </c>
      <c r="X86" s="16">
        <f>E86*'الافتراضات'!$B$7</f>
        <v/>
      </c>
      <c r="Y86" s="16">
        <f>E86*'الافتراضات'!$B$8</f>
        <v/>
      </c>
      <c r="Z86" s="16">
        <f>E86/(1+'الافتراضات'!$B$6)</f>
        <v/>
      </c>
      <c r="AA86" s="16">
        <f>Z86-V86-W86-Q86-X86-Y86</f>
        <v/>
      </c>
      <c r="AB86" s="17">
        <f>IF(Z86=0,0,AA86/Z86)</f>
        <v/>
      </c>
      <c r="AC86" s="17">
        <f>IF(V86=0,0,AA86/V86)</f>
        <v/>
      </c>
      <c r="AD86" s="18">
        <f>R86*V86</f>
        <v/>
      </c>
      <c r="AE86" s="16">
        <f>IF(AB86&gt;='الافتراضات'!$B$9,IF(O86="لا","ابدأ به","جيد – يحتاج شهادة"),IF(AB86&gt;='الافتراضات'!$B$10,"مقبول","ضعيف"))</f>
        <v/>
      </c>
      <c r="AF86" s="16">
        <f>IF((1-'الافتراضات'!$B$9)/(1+'الافتراضات'!$B$6)-P86-'الافتراضات'!$B$7-'الافتراضات'!$B$8&lt;=0,0,(V86+Q86)/((1-'الافتراضات'!$B$9)/(1+'الافتراضات'!$B$6)-P86-'الافتراضات'!$B$7-'الافتراضات'!$B$8))</f>
        <v/>
      </c>
    </row>
    <row r="87">
      <c r="A87" s="10" t="n">
        <v>86</v>
      </c>
      <c r="B87" s="11" t="inlineStr">
        <is>
          <t>التنظيف والغسيل</t>
        </is>
      </c>
      <c r="C87" s="11" t="inlineStr">
        <is>
          <t>فرشاة تنظيف دوارة كهربائية</t>
        </is>
      </c>
      <c r="D87" s="11" t="inlineStr">
        <is>
          <t>electric spin scrubber</t>
        </is>
      </c>
      <c r="E87" s="12" t="n">
        <v>102</v>
      </c>
      <c r="F87" s="10" t="inlineStr">
        <is>
          <t>تقدير</t>
        </is>
      </c>
      <c r="G87" s="10" t="inlineStr">
        <is>
          <t>تقدير</t>
        </is>
      </c>
      <c r="H87" s="10" t="inlineStr">
        <is>
          <t>لم تُفحص</t>
        </is>
      </c>
      <c r="I87" s="10" t="inlineStr">
        <is>
          <t>لم يُفحص</t>
        </is>
      </c>
      <c r="J87" s="13" t="n">
        <v>9</v>
      </c>
      <c r="K87" s="11" t="inlineStr">
        <is>
          <t>تقدير</t>
        </is>
      </c>
      <c r="L87" s="14" t="n">
        <v>0.8</v>
      </c>
      <c r="M87" s="10" t="inlineStr">
        <is>
          <t>متوسط</t>
        </is>
      </c>
      <c r="N87" s="11" t="inlineStr">
        <is>
          <t>طوال السنة</t>
        </is>
      </c>
      <c r="O87" s="11" t="inlineStr">
        <is>
          <t>SABER + بطارية ليثيوم</t>
        </is>
      </c>
      <c r="P87" s="15" t="n">
        <v>0.09</v>
      </c>
      <c r="Q87" s="14" t="n">
        <v>10</v>
      </c>
      <c r="R87" s="14" t="n">
        <v>50</v>
      </c>
      <c r="S87" s="16">
        <f>J87*'الافتراضات'!$B$2*(1+'الافتراضات'!$B$3)</f>
        <v/>
      </c>
      <c r="T87" s="16">
        <f>L87*'الافتراضات'!$B$4</f>
        <v/>
      </c>
      <c r="U87" s="16">
        <f>(S87+T87)*'الافتراضات'!$B$5</f>
        <v/>
      </c>
      <c r="V87" s="16">
        <f>S87+T87+U87</f>
        <v/>
      </c>
      <c r="W87" s="16">
        <f>MAX(1,E87*P87)</f>
        <v/>
      </c>
      <c r="X87" s="16">
        <f>E87*'الافتراضات'!$B$7</f>
        <v/>
      </c>
      <c r="Y87" s="16">
        <f>E87*'الافتراضات'!$B$8</f>
        <v/>
      </c>
      <c r="Z87" s="16">
        <f>E87/(1+'الافتراضات'!$B$6)</f>
        <v/>
      </c>
      <c r="AA87" s="16">
        <f>Z87-V87-W87-Q87-X87-Y87</f>
        <v/>
      </c>
      <c r="AB87" s="17">
        <f>IF(Z87=0,0,AA87/Z87)</f>
        <v/>
      </c>
      <c r="AC87" s="17">
        <f>IF(V87=0,0,AA87/V87)</f>
        <v/>
      </c>
      <c r="AD87" s="18">
        <f>R87*V87</f>
        <v/>
      </c>
      <c r="AE87" s="16">
        <f>IF(AB87&gt;='الافتراضات'!$B$9,IF(O87="لا","ابدأ به","جيد – يحتاج شهادة"),IF(AB87&gt;='الافتراضات'!$B$10,"مقبول","ضعيف"))</f>
        <v/>
      </c>
      <c r="AF87" s="16">
        <f>IF((1-'الافتراضات'!$B$9)/(1+'الافتراضات'!$B$6)-P87-'الافتراضات'!$B$7-'الافتراضات'!$B$8&lt;=0,0,(V87+Q87)/((1-'الافتراضات'!$B$9)/(1+'الافتراضات'!$B$6)-P87-'الافتراضات'!$B$7-'الافتراضات'!$B$8))</f>
        <v/>
      </c>
    </row>
    <row r="88">
      <c r="A88" s="10" t="n">
        <v>87</v>
      </c>
      <c r="B88" s="11" t="inlineStr">
        <is>
          <t>الحيوانات الأليفة</t>
        </is>
      </c>
      <c r="C88" s="11" t="inlineStr">
        <is>
          <t>مكنسة شعر الحيوانات</t>
        </is>
      </c>
      <c r="D88" s="11" t="inlineStr">
        <is>
          <t>pet hair vacuum cleaner</t>
        </is>
      </c>
      <c r="E88" s="12" t="n">
        <v>396</v>
      </c>
      <c r="F88" s="10" t="inlineStr">
        <is>
          <t>تقدير</t>
        </is>
      </c>
      <c r="G88" s="10" t="inlineStr">
        <is>
          <t>تقدير</t>
        </is>
      </c>
      <c r="H88" s="10" t="inlineStr">
        <is>
          <t>لم تُفحص</t>
        </is>
      </c>
      <c r="I88" s="10" t="inlineStr">
        <is>
          <t>لم يُفحص</t>
        </is>
      </c>
      <c r="J88" s="13" t="n">
        <v>35</v>
      </c>
      <c r="K88" s="11" t="inlineStr">
        <is>
          <t>تقدير</t>
        </is>
      </c>
      <c r="L88" s="14" t="n">
        <v>3</v>
      </c>
      <c r="M88" s="10" t="inlineStr">
        <is>
          <t>كبير</t>
        </is>
      </c>
      <c r="N88" s="11" t="inlineStr">
        <is>
          <t>طوال السنة</t>
        </is>
      </c>
      <c r="O88" s="11" t="inlineStr">
        <is>
          <t>SABER</t>
        </is>
      </c>
      <c r="P88" s="15" t="n">
        <v>0.15</v>
      </c>
      <c r="Q88" s="14" t="n">
        <v>16</v>
      </c>
      <c r="R88" s="14" t="n">
        <v>50</v>
      </c>
      <c r="S88" s="16">
        <f>J88*'الافتراضات'!$B$2*(1+'الافتراضات'!$B$3)</f>
        <v/>
      </c>
      <c r="T88" s="16">
        <f>L88*'الافتراضات'!$B$4</f>
        <v/>
      </c>
      <c r="U88" s="16">
        <f>(S88+T88)*'الافتراضات'!$B$5</f>
        <v/>
      </c>
      <c r="V88" s="16">
        <f>S88+T88+U88</f>
        <v/>
      </c>
      <c r="W88" s="16">
        <f>MAX(1,E88*P88)</f>
        <v/>
      </c>
      <c r="X88" s="16">
        <f>E88*'الافتراضات'!$B$7</f>
        <v/>
      </c>
      <c r="Y88" s="16">
        <f>E88*'الافتراضات'!$B$8</f>
        <v/>
      </c>
      <c r="Z88" s="16">
        <f>E88/(1+'الافتراضات'!$B$6)</f>
        <v/>
      </c>
      <c r="AA88" s="16">
        <f>Z88-V88-W88-Q88-X88-Y88</f>
        <v/>
      </c>
      <c r="AB88" s="17">
        <f>IF(Z88=0,0,AA88/Z88)</f>
        <v/>
      </c>
      <c r="AC88" s="17">
        <f>IF(V88=0,0,AA88/V88)</f>
        <v/>
      </c>
      <c r="AD88" s="18">
        <f>R88*V88</f>
        <v/>
      </c>
      <c r="AE88" s="16">
        <f>IF(AB88&gt;='الافتراضات'!$B$9,IF(O88="لا","ابدأ به","جيد – يحتاج شهادة"),IF(AB88&gt;='الافتراضات'!$B$10,"مقبول","ضعيف"))</f>
        <v/>
      </c>
      <c r="AF88" s="16">
        <f>IF((1-'الافتراضات'!$B$9)/(1+'الافتراضات'!$B$6)-P88-'الافتراضات'!$B$7-'الافتراضات'!$B$8&lt;=0,0,(V88+Q88)/((1-'الافتراضات'!$B$9)/(1+'الافتراضات'!$B$6)-P88-'الافتراضات'!$B$7-'الافتراضات'!$B$8))</f>
        <v/>
      </c>
    </row>
    <row r="89">
      <c r="A89" s="10" t="n">
        <v>88</v>
      </c>
      <c r="B89" s="11" t="inlineStr">
        <is>
          <t>إكسسوارات الجوال والإلكترونيات</t>
        </is>
      </c>
      <c r="C89" s="11" t="inlineStr">
        <is>
          <t>طقم تنظيف الشاشات ولوحات المفاتيح</t>
        </is>
      </c>
      <c r="D89" s="11" t="inlineStr">
        <is>
          <t>screen cleaner kit keyboard brush</t>
        </is>
      </c>
      <c r="E89" s="12" t="n">
        <v>25</v>
      </c>
      <c r="F89" s="10" t="inlineStr">
        <is>
          <t>تقدير</t>
        </is>
      </c>
      <c r="G89" s="10" t="inlineStr">
        <is>
          <t>تقدير</t>
        </is>
      </c>
      <c r="H89" s="10" t="inlineStr">
        <is>
          <t>لم تُفحص</t>
        </is>
      </c>
      <c r="I89" s="10" t="inlineStr">
        <is>
          <t>لم يُفحص</t>
        </is>
      </c>
      <c r="J89" s="13" t="n">
        <v>1</v>
      </c>
      <c r="K89" s="11" t="inlineStr">
        <is>
          <t>تقدير</t>
        </is>
      </c>
      <c r="L89" s="14" t="n">
        <v>0.15</v>
      </c>
      <c r="M89" s="10" t="inlineStr">
        <is>
          <t>صغير</t>
        </is>
      </c>
      <c r="N89" s="11" t="inlineStr">
        <is>
          <t>طوال السنة</t>
        </is>
      </c>
      <c r="O89" s="11" t="inlineStr">
        <is>
          <t>لا</t>
        </is>
      </c>
      <c r="P89" s="15" t="n">
        <v>0.13</v>
      </c>
      <c r="Q89" s="14" t="n">
        <v>7</v>
      </c>
      <c r="R89" s="14" t="n">
        <v>50</v>
      </c>
      <c r="S89" s="16">
        <f>J89*'الافتراضات'!$B$2*(1+'الافتراضات'!$B$3)</f>
        <v/>
      </c>
      <c r="T89" s="16">
        <f>L89*'الافتراضات'!$B$4</f>
        <v/>
      </c>
      <c r="U89" s="16">
        <f>(S89+T89)*'الافتراضات'!$B$5</f>
        <v/>
      </c>
      <c r="V89" s="16">
        <f>S89+T89+U89</f>
        <v/>
      </c>
      <c r="W89" s="16">
        <f>MAX(1,E89*P89)</f>
        <v/>
      </c>
      <c r="X89" s="16">
        <f>E89*'الافتراضات'!$B$7</f>
        <v/>
      </c>
      <c r="Y89" s="16">
        <f>E89*'الافتراضات'!$B$8</f>
        <v/>
      </c>
      <c r="Z89" s="16">
        <f>E89/(1+'الافتراضات'!$B$6)</f>
        <v/>
      </c>
      <c r="AA89" s="16">
        <f>Z89-V89-W89-Q89-X89-Y89</f>
        <v/>
      </c>
      <c r="AB89" s="17">
        <f>IF(Z89=0,0,AA89/Z89)</f>
        <v/>
      </c>
      <c r="AC89" s="17">
        <f>IF(V89=0,0,AA89/V89)</f>
        <v/>
      </c>
      <c r="AD89" s="18">
        <f>R89*V89</f>
        <v/>
      </c>
      <c r="AE89" s="16">
        <f>IF(AB89&gt;='الافتراضات'!$B$9,IF(O89="لا","ابدأ به","جيد – يحتاج شهادة"),IF(AB89&gt;='الافتراضات'!$B$10,"مقبول","ضعيف"))</f>
        <v/>
      </c>
      <c r="AF89" s="16">
        <f>IF((1-'الافتراضات'!$B$9)/(1+'الافتراضات'!$B$6)-P89-'الافتراضات'!$B$7-'الافتراضات'!$B$8&lt;=0,0,(V89+Q89)/((1-'الافتراضات'!$B$9)/(1+'الافتراضات'!$B$6)-P89-'الافتراضات'!$B$7-'الافتراضات'!$B$8))</f>
        <v/>
      </c>
    </row>
    <row r="90">
      <c r="A90" s="10" t="n">
        <v>89</v>
      </c>
      <c r="B90" s="11" t="inlineStr">
        <is>
          <t>رمضان والمناسبات</t>
        </is>
      </c>
      <c r="C90" s="11" t="inlineStr">
        <is>
          <t>عداد تسبيح إلكتروني خاتم</t>
        </is>
      </c>
      <c r="D90" s="11" t="inlineStr">
        <is>
          <t>digital tasbeeh counter ring</t>
        </is>
      </c>
      <c r="E90" s="12" t="n">
        <v>25</v>
      </c>
      <c r="F90" s="10" t="inlineStr">
        <is>
          <t>تقدير</t>
        </is>
      </c>
      <c r="G90" s="10" t="inlineStr">
        <is>
          <t>تقدير</t>
        </is>
      </c>
      <c r="H90" s="10" t="inlineStr">
        <is>
          <t>لم تُفحص</t>
        </is>
      </c>
      <c r="I90" s="10" t="inlineStr">
        <is>
          <t>لم يُفحص</t>
        </is>
      </c>
      <c r="J90" s="13" t="n">
        <v>1.4</v>
      </c>
      <c r="K90" s="11" t="inlineStr">
        <is>
          <t>تقدير</t>
        </is>
      </c>
      <c r="L90" s="14" t="n">
        <v>0.04</v>
      </c>
      <c r="M90" s="10" t="inlineStr">
        <is>
          <t>صغير</t>
        </is>
      </c>
      <c r="N90" s="11" t="inlineStr">
        <is>
          <t>رمضان والمناسبات</t>
        </is>
      </c>
      <c r="O90" s="11" t="inlineStr">
        <is>
          <t>SABER + بطارية ليثيوم</t>
        </is>
      </c>
      <c r="P90" s="15" t="n">
        <v>0.14</v>
      </c>
      <c r="Q90" s="14" t="n">
        <v>6</v>
      </c>
      <c r="R90" s="14" t="n">
        <v>50</v>
      </c>
      <c r="S90" s="16">
        <f>J90*'الافتراضات'!$B$2*(1+'الافتراضات'!$B$3)</f>
        <v/>
      </c>
      <c r="T90" s="16">
        <f>L90*'الافتراضات'!$B$4</f>
        <v/>
      </c>
      <c r="U90" s="16">
        <f>(S90+T90)*'الافتراضات'!$B$5</f>
        <v/>
      </c>
      <c r="V90" s="16">
        <f>S90+T90+U90</f>
        <v/>
      </c>
      <c r="W90" s="16">
        <f>MAX(1,E90*P90)</f>
        <v/>
      </c>
      <c r="X90" s="16">
        <f>E90*'الافتراضات'!$B$7</f>
        <v/>
      </c>
      <c r="Y90" s="16">
        <f>E90*'الافتراضات'!$B$8</f>
        <v/>
      </c>
      <c r="Z90" s="16">
        <f>E90/(1+'الافتراضات'!$B$6)</f>
        <v/>
      </c>
      <c r="AA90" s="16">
        <f>Z90-V90-W90-Q90-X90-Y90</f>
        <v/>
      </c>
      <c r="AB90" s="17">
        <f>IF(Z90=0,0,AA90/Z90)</f>
        <v/>
      </c>
      <c r="AC90" s="17">
        <f>IF(V90=0,0,AA90/V90)</f>
        <v/>
      </c>
      <c r="AD90" s="18">
        <f>R90*V90</f>
        <v/>
      </c>
      <c r="AE90" s="16">
        <f>IF(AB90&gt;='الافتراضات'!$B$9,IF(O90="لا","ابدأ به","جيد – يحتاج شهادة"),IF(AB90&gt;='الافتراضات'!$B$10,"مقبول","ضعيف"))</f>
        <v/>
      </c>
      <c r="AF90" s="16">
        <f>IF((1-'الافتراضات'!$B$9)/(1+'الافتراضات'!$B$6)-P90-'الافتراضات'!$B$7-'الافتراضات'!$B$8&lt;=0,0,(V90+Q90)/((1-'الافتراضات'!$B$9)/(1+'الافتراضات'!$B$6)-P90-'الافتراضات'!$B$7-'الافتراضات'!$B$8))</f>
        <v/>
      </c>
    </row>
    <row r="91">
      <c r="A91" s="10" t="n">
        <v>90</v>
      </c>
      <c r="B91" s="11" t="inlineStr">
        <is>
          <t>المنزل والمطبخ</t>
        </is>
      </c>
      <c r="C91" s="11" t="inlineStr">
        <is>
          <t>صنبور سخان فوري كهربائي</t>
        </is>
      </c>
      <c r="D91" s="11" t="inlineStr">
        <is>
          <t>instant electric water heater tap</t>
        </is>
      </c>
      <c r="E91" s="12" t="n">
        <v>113</v>
      </c>
      <c r="F91" s="10" t="inlineStr">
        <is>
          <t>تقدير</t>
        </is>
      </c>
      <c r="G91" s="10" t="inlineStr">
        <is>
          <t>تقدير</t>
        </is>
      </c>
      <c r="H91" s="10" t="inlineStr">
        <is>
          <t>لم تُفحص</t>
        </is>
      </c>
      <c r="I91" s="10" t="inlineStr">
        <is>
          <t>لم يُفحص</t>
        </is>
      </c>
      <c r="J91" s="13" t="n">
        <v>10</v>
      </c>
      <c r="K91" s="11" t="inlineStr">
        <is>
          <t>تقدير</t>
        </is>
      </c>
      <c r="L91" s="14" t="n">
        <v>0.9</v>
      </c>
      <c r="M91" s="10" t="inlineStr">
        <is>
          <t>متوسط</t>
        </is>
      </c>
      <c r="N91" s="11" t="inlineStr">
        <is>
          <t>طوال السنة</t>
        </is>
      </c>
      <c r="O91" s="11" t="inlineStr">
        <is>
          <t>SABER</t>
        </is>
      </c>
      <c r="P91" s="15" t="n">
        <v>0.1</v>
      </c>
      <c r="Q91" s="14" t="n">
        <v>10</v>
      </c>
      <c r="R91" s="14" t="n">
        <v>50</v>
      </c>
      <c r="S91" s="16">
        <f>J91*'الافتراضات'!$B$2*(1+'الافتراضات'!$B$3)</f>
        <v/>
      </c>
      <c r="T91" s="16">
        <f>L91*'الافتراضات'!$B$4</f>
        <v/>
      </c>
      <c r="U91" s="16">
        <f>(S91+T91)*'الافتراضات'!$B$5</f>
        <v/>
      </c>
      <c r="V91" s="16">
        <f>S91+T91+U91</f>
        <v/>
      </c>
      <c r="W91" s="16">
        <f>MAX(1,E91*P91)</f>
        <v/>
      </c>
      <c r="X91" s="16">
        <f>E91*'الافتراضات'!$B$7</f>
        <v/>
      </c>
      <c r="Y91" s="16">
        <f>E91*'الافتراضات'!$B$8</f>
        <v/>
      </c>
      <c r="Z91" s="16">
        <f>E91/(1+'الافتراضات'!$B$6)</f>
        <v/>
      </c>
      <c r="AA91" s="16">
        <f>Z91-V91-W91-Q91-X91-Y91</f>
        <v/>
      </c>
      <c r="AB91" s="17">
        <f>IF(Z91=0,0,AA91/Z91)</f>
        <v/>
      </c>
      <c r="AC91" s="17">
        <f>IF(V91=0,0,AA91/V91)</f>
        <v/>
      </c>
      <c r="AD91" s="18">
        <f>R91*V91</f>
        <v/>
      </c>
      <c r="AE91" s="16">
        <f>IF(AB91&gt;='الافتراضات'!$B$9,IF(O91="لا","ابدأ به","جيد – يحتاج شهادة"),IF(AB91&gt;='الافتراضات'!$B$10,"مقبول","ضعيف"))</f>
        <v/>
      </c>
      <c r="AF91" s="16">
        <f>IF((1-'الافتراضات'!$B$9)/(1+'الافتراضات'!$B$6)-P91-'الافتراضات'!$B$7-'الافتراضات'!$B$8&lt;=0,0,(V91+Q91)/((1-'الافتراضات'!$B$9)/(1+'الافتراضات'!$B$6)-P91-'الافتراضات'!$B$7-'الافتراضات'!$B$8))</f>
        <v/>
      </c>
    </row>
    <row r="92">
      <c r="A92" s="10" t="n">
        <v>91</v>
      </c>
      <c r="B92" s="11" t="inlineStr">
        <is>
          <t>الأطفال والألعاب</t>
        </is>
      </c>
      <c r="C92" s="11" t="inlineStr">
        <is>
          <t>كاميرا أطفال رقمية</t>
        </is>
      </c>
      <c r="D92" s="11" t="inlineStr">
        <is>
          <t>kids digital camera</t>
        </is>
      </c>
      <c r="E92" s="12" t="n">
        <v>102</v>
      </c>
      <c r="F92" s="10" t="inlineStr">
        <is>
          <t>تقدير</t>
        </is>
      </c>
      <c r="G92" s="10" t="inlineStr">
        <is>
          <t>تقدير</t>
        </is>
      </c>
      <c r="H92" s="10" t="inlineStr">
        <is>
          <t>لم تُفحص</t>
        </is>
      </c>
      <c r="I92" s="10" t="inlineStr">
        <is>
          <t>لم يُفحص</t>
        </is>
      </c>
      <c r="J92" s="13" t="n">
        <v>9</v>
      </c>
      <c r="K92" s="11" t="inlineStr">
        <is>
          <t>تقدير</t>
        </is>
      </c>
      <c r="L92" s="14" t="n">
        <v>0.3</v>
      </c>
      <c r="M92" s="10" t="inlineStr">
        <is>
          <t>صغير</t>
        </is>
      </c>
      <c r="N92" s="11" t="inlineStr">
        <is>
          <t>طوال السنة</t>
        </is>
      </c>
      <c r="O92" s="11" t="inlineStr">
        <is>
          <t>SABER + بطارية ليثيوم</t>
        </is>
      </c>
      <c r="P92" s="15" t="n">
        <v>0.14</v>
      </c>
      <c r="Q92" s="14" t="n">
        <v>9.5</v>
      </c>
      <c r="R92" s="14" t="n">
        <v>50</v>
      </c>
      <c r="S92" s="16">
        <f>J92*'الافتراضات'!$B$2*(1+'الافتراضات'!$B$3)</f>
        <v/>
      </c>
      <c r="T92" s="16">
        <f>L92*'الافتراضات'!$B$4</f>
        <v/>
      </c>
      <c r="U92" s="16">
        <f>(S92+T92)*'الافتراضات'!$B$5</f>
        <v/>
      </c>
      <c r="V92" s="16">
        <f>S92+T92+U92</f>
        <v/>
      </c>
      <c r="W92" s="16">
        <f>MAX(1,E92*P92)</f>
        <v/>
      </c>
      <c r="X92" s="16">
        <f>E92*'الافتراضات'!$B$7</f>
        <v/>
      </c>
      <c r="Y92" s="16">
        <f>E92*'الافتراضات'!$B$8</f>
        <v/>
      </c>
      <c r="Z92" s="16">
        <f>E92/(1+'الافتراضات'!$B$6)</f>
        <v/>
      </c>
      <c r="AA92" s="16">
        <f>Z92-V92-W92-Q92-X92-Y92</f>
        <v/>
      </c>
      <c r="AB92" s="17">
        <f>IF(Z92=0,0,AA92/Z92)</f>
        <v/>
      </c>
      <c r="AC92" s="17">
        <f>IF(V92=0,0,AA92/V92)</f>
        <v/>
      </c>
      <c r="AD92" s="18">
        <f>R92*V92</f>
        <v/>
      </c>
      <c r="AE92" s="16">
        <f>IF(AB92&gt;='الافتراضات'!$B$9,IF(O92="لا","ابدأ به","جيد – يحتاج شهادة"),IF(AB92&gt;='الافتراضات'!$B$10,"مقبول","ضعيف"))</f>
        <v/>
      </c>
      <c r="AF92" s="16">
        <f>IF((1-'الافتراضات'!$B$9)/(1+'الافتراضات'!$B$6)-P92-'الافتراضات'!$B$7-'الافتراضات'!$B$8&lt;=0,0,(V92+Q92)/((1-'الافتراضات'!$B$9)/(1+'الافتراضات'!$B$6)-P92-'الافتراضات'!$B$7-'الافتراضات'!$B$8))</f>
        <v/>
      </c>
    </row>
    <row r="93">
      <c r="A93" s="10" t="n">
        <v>92</v>
      </c>
      <c r="B93" s="11" t="inlineStr">
        <is>
          <t>الأدوات والصيانة</t>
        </is>
      </c>
      <c r="C93" s="11" t="inlineStr">
        <is>
          <t>متر ليزر قياس المسافة</t>
        </is>
      </c>
      <c r="D93" s="11" t="inlineStr">
        <is>
          <t>laser distance meter</t>
        </is>
      </c>
      <c r="E93" s="12" t="n">
        <v>102</v>
      </c>
      <c r="F93" s="10" t="inlineStr">
        <is>
          <t>تقدير</t>
        </is>
      </c>
      <c r="G93" s="10" t="inlineStr">
        <is>
          <t>تقدير</t>
        </is>
      </c>
      <c r="H93" s="10" t="inlineStr">
        <is>
          <t>لم تُفحص</t>
        </is>
      </c>
      <c r="I93" s="10" t="inlineStr">
        <is>
          <t>لم يُفحص</t>
        </is>
      </c>
      <c r="J93" s="13" t="n">
        <v>9</v>
      </c>
      <c r="K93" s="11" t="inlineStr">
        <is>
          <t>تقدير</t>
        </is>
      </c>
      <c r="L93" s="14" t="n">
        <v>0.3</v>
      </c>
      <c r="M93" s="10" t="inlineStr">
        <is>
          <t>صغير</t>
        </is>
      </c>
      <c r="N93" s="11" t="inlineStr">
        <is>
          <t>طوال السنة</t>
        </is>
      </c>
      <c r="O93" s="11" t="inlineStr">
        <is>
          <t>SABER + بطارية ليثيوم</t>
        </is>
      </c>
      <c r="P93" s="15" t="n">
        <v>0.14</v>
      </c>
      <c r="Q93" s="14" t="n">
        <v>9.5</v>
      </c>
      <c r="R93" s="14" t="n">
        <v>50</v>
      </c>
      <c r="S93" s="16">
        <f>J93*'الافتراضات'!$B$2*(1+'الافتراضات'!$B$3)</f>
        <v/>
      </c>
      <c r="T93" s="16">
        <f>L93*'الافتراضات'!$B$4</f>
        <v/>
      </c>
      <c r="U93" s="16">
        <f>(S93+T93)*'الافتراضات'!$B$5</f>
        <v/>
      </c>
      <c r="V93" s="16">
        <f>S93+T93+U93</f>
        <v/>
      </c>
      <c r="W93" s="16">
        <f>MAX(1,E93*P93)</f>
        <v/>
      </c>
      <c r="X93" s="16">
        <f>E93*'الافتراضات'!$B$7</f>
        <v/>
      </c>
      <c r="Y93" s="16">
        <f>E93*'الافتراضات'!$B$8</f>
        <v/>
      </c>
      <c r="Z93" s="16">
        <f>E93/(1+'الافتراضات'!$B$6)</f>
        <v/>
      </c>
      <c r="AA93" s="16">
        <f>Z93-V93-W93-Q93-X93-Y93</f>
        <v/>
      </c>
      <c r="AB93" s="17">
        <f>IF(Z93=0,0,AA93/Z93)</f>
        <v/>
      </c>
      <c r="AC93" s="17">
        <f>IF(V93=0,0,AA93/V93)</f>
        <v/>
      </c>
      <c r="AD93" s="18">
        <f>R93*V93</f>
        <v/>
      </c>
      <c r="AE93" s="16">
        <f>IF(AB93&gt;='الافتراضات'!$B$9,IF(O93="لا","ابدأ به","جيد – يحتاج شهادة"),IF(AB93&gt;='الافتراضات'!$B$10,"مقبول","ضعيف"))</f>
        <v/>
      </c>
      <c r="AF93" s="16">
        <f>IF((1-'الافتراضات'!$B$9)/(1+'الافتراضات'!$B$6)-P93-'الافتراضات'!$B$7-'الافتراضات'!$B$8&lt;=0,0,(V93+Q93)/((1-'الافتراضات'!$B$9)/(1+'الافتراضات'!$B$6)-P93-'الافتراضات'!$B$7-'الافتراضات'!$B$8))</f>
        <v/>
      </c>
    </row>
    <row r="94">
      <c r="A94" s="10" t="n">
        <v>93</v>
      </c>
      <c r="B94" s="11" t="inlineStr">
        <is>
          <t>الأدوات والصيانة</t>
        </is>
      </c>
      <c r="C94" s="11" t="inlineStr">
        <is>
          <t>منظار صناعي كاميرا</t>
        </is>
      </c>
      <c r="D94" s="11" t="inlineStr">
        <is>
          <t>inspection camera endoscope</t>
        </is>
      </c>
      <c r="E94" s="12" t="n">
        <v>102</v>
      </c>
      <c r="F94" s="10" t="inlineStr">
        <is>
          <t>تقدير</t>
        </is>
      </c>
      <c r="G94" s="10" t="inlineStr">
        <is>
          <t>تقدير</t>
        </is>
      </c>
      <c r="H94" s="10" t="inlineStr">
        <is>
          <t>لم تُفحص</t>
        </is>
      </c>
      <c r="I94" s="10" t="inlineStr">
        <is>
          <t>لم يُفحص</t>
        </is>
      </c>
      <c r="J94" s="13" t="n">
        <v>9</v>
      </c>
      <c r="K94" s="11" t="inlineStr">
        <is>
          <t>تقدير</t>
        </is>
      </c>
      <c r="L94" s="14" t="n">
        <v>0.3</v>
      </c>
      <c r="M94" s="10" t="inlineStr">
        <is>
          <t>صغير</t>
        </is>
      </c>
      <c r="N94" s="11" t="inlineStr">
        <is>
          <t>طوال السنة</t>
        </is>
      </c>
      <c r="O94" s="11" t="inlineStr">
        <is>
          <t>SABER + بطارية ليثيوم</t>
        </is>
      </c>
      <c r="P94" s="15" t="n">
        <v>0.14</v>
      </c>
      <c r="Q94" s="14" t="n">
        <v>9.5</v>
      </c>
      <c r="R94" s="14" t="n">
        <v>50</v>
      </c>
      <c r="S94" s="16">
        <f>J94*'الافتراضات'!$B$2*(1+'الافتراضات'!$B$3)</f>
        <v/>
      </c>
      <c r="T94" s="16">
        <f>L94*'الافتراضات'!$B$4</f>
        <v/>
      </c>
      <c r="U94" s="16">
        <f>(S94+T94)*'الافتراضات'!$B$5</f>
        <v/>
      </c>
      <c r="V94" s="16">
        <f>S94+T94+U94</f>
        <v/>
      </c>
      <c r="W94" s="16">
        <f>MAX(1,E94*P94)</f>
        <v/>
      </c>
      <c r="X94" s="16">
        <f>E94*'الافتراضات'!$B$7</f>
        <v/>
      </c>
      <c r="Y94" s="16">
        <f>E94*'الافتراضات'!$B$8</f>
        <v/>
      </c>
      <c r="Z94" s="16">
        <f>E94/(1+'الافتراضات'!$B$6)</f>
        <v/>
      </c>
      <c r="AA94" s="16">
        <f>Z94-V94-W94-Q94-X94-Y94</f>
        <v/>
      </c>
      <c r="AB94" s="17">
        <f>IF(Z94=0,0,AA94/Z94)</f>
        <v/>
      </c>
      <c r="AC94" s="17">
        <f>IF(V94=0,0,AA94/V94)</f>
        <v/>
      </c>
      <c r="AD94" s="18">
        <f>R94*V94</f>
        <v/>
      </c>
      <c r="AE94" s="16">
        <f>IF(AB94&gt;='الافتراضات'!$B$9,IF(O94="لا","ابدأ به","جيد – يحتاج شهادة"),IF(AB94&gt;='الافتراضات'!$B$10,"مقبول","ضعيف"))</f>
        <v/>
      </c>
      <c r="AF94" s="16">
        <f>IF((1-'الافتراضات'!$B$9)/(1+'الافتراضات'!$B$6)-P94-'الافتراضات'!$B$7-'الافتراضات'!$B$8&lt;=0,0,(V94+Q94)/((1-'الافتراضات'!$B$9)/(1+'الافتراضات'!$B$6)-P94-'الافتراضات'!$B$7-'الافتراضات'!$B$8))</f>
        <v/>
      </c>
    </row>
    <row r="95">
      <c r="A95" s="10" t="n">
        <v>94</v>
      </c>
      <c r="B95" s="11" t="inlineStr">
        <is>
          <t>الأمان المنزلي</t>
        </is>
      </c>
      <c r="C95" s="11" t="inlineStr">
        <is>
          <t>قفل بصمة صغير</t>
        </is>
      </c>
      <c r="D95" s="11" t="inlineStr">
        <is>
          <t>fingerprint padlock</t>
        </is>
      </c>
      <c r="E95" s="12" t="n">
        <v>102</v>
      </c>
      <c r="F95" s="10" t="inlineStr">
        <is>
          <t>تقدير</t>
        </is>
      </c>
      <c r="G95" s="10" t="inlineStr">
        <is>
          <t>تقدير</t>
        </is>
      </c>
      <c r="H95" s="10" t="inlineStr">
        <is>
          <t>لم تُفحص</t>
        </is>
      </c>
      <c r="I95" s="10" t="inlineStr">
        <is>
          <t>لم يُفحص</t>
        </is>
      </c>
      <c r="J95" s="13" t="n">
        <v>9</v>
      </c>
      <c r="K95" s="11" t="inlineStr">
        <is>
          <t>تقدير</t>
        </is>
      </c>
      <c r="L95" s="14" t="n">
        <v>0.3</v>
      </c>
      <c r="M95" s="10" t="inlineStr">
        <is>
          <t>صغير</t>
        </is>
      </c>
      <c r="N95" s="11" t="inlineStr">
        <is>
          <t>طوال السنة</t>
        </is>
      </c>
      <c r="O95" s="11" t="inlineStr">
        <is>
          <t>SABER + بطارية ليثيوم</t>
        </is>
      </c>
      <c r="P95" s="15" t="n">
        <v>0.14</v>
      </c>
      <c r="Q95" s="14" t="n">
        <v>9.5</v>
      </c>
      <c r="R95" s="14" t="n">
        <v>50</v>
      </c>
      <c r="S95" s="16">
        <f>J95*'الافتراضات'!$B$2*(1+'الافتراضات'!$B$3)</f>
        <v/>
      </c>
      <c r="T95" s="16">
        <f>L95*'الافتراضات'!$B$4</f>
        <v/>
      </c>
      <c r="U95" s="16">
        <f>(S95+T95)*'الافتراضات'!$B$5</f>
        <v/>
      </c>
      <c r="V95" s="16">
        <f>S95+T95+U95</f>
        <v/>
      </c>
      <c r="W95" s="16">
        <f>MAX(1,E95*P95)</f>
        <v/>
      </c>
      <c r="X95" s="16">
        <f>E95*'الافتراضات'!$B$7</f>
        <v/>
      </c>
      <c r="Y95" s="16">
        <f>E95*'الافتراضات'!$B$8</f>
        <v/>
      </c>
      <c r="Z95" s="16">
        <f>E95/(1+'الافتراضات'!$B$6)</f>
        <v/>
      </c>
      <c r="AA95" s="16">
        <f>Z95-V95-W95-Q95-X95-Y95</f>
        <v/>
      </c>
      <c r="AB95" s="17">
        <f>IF(Z95=0,0,AA95/Z95)</f>
        <v/>
      </c>
      <c r="AC95" s="17">
        <f>IF(V95=0,0,AA95/V95)</f>
        <v/>
      </c>
      <c r="AD95" s="18">
        <f>R95*V95</f>
        <v/>
      </c>
      <c r="AE95" s="16">
        <f>IF(AB95&gt;='الافتراضات'!$B$9,IF(O95="لا","ابدأ به","جيد – يحتاج شهادة"),IF(AB95&gt;='الافتراضات'!$B$10,"مقبول","ضعيف"))</f>
        <v/>
      </c>
      <c r="AF95" s="16">
        <f>IF((1-'الافتراضات'!$B$9)/(1+'الافتراضات'!$B$6)-P95-'الافتراضات'!$B$7-'الافتراضات'!$B$8&lt;=0,0,(V95+Q95)/((1-'الافتراضات'!$B$9)/(1+'الافتراضات'!$B$6)-P95-'الافتراضات'!$B$7-'الافتراضات'!$B$8))</f>
        <v/>
      </c>
    </row>
    <row r="96">
      <c r="A96" s="10" t="n">
        <v>95</v>
      </c>
      <c r="B96" s="11" t="inlineStr">
        <is>
          <t>الأمان المنزلي</t>
        </is>
      </c>
      <c r="C96" s="11" t="inlineStr">
        <is>
          <t>كاشف تسرب غاز</t>
        </is>
      </c>
      <c r="D96" s="11" t="inlineStr">
        <is>
          <t>gas leak detector</t>
        </is>
      </c>
      <c r="E96" s="12" t="n">
        <v>102</v>
      </c>
      <c r="F96" s="10" t="inlineStr">
        <is>
          <t>تقدير</t>
        </is>
      </c>
      <c r="G96" s="10" t="inlineStr">
        <is>
          <t>تقدير</t>
        </is>
      </c>
      <c r="H96" s="10" t="inlineStr">
        <is>
          <t>لم تُفحص</t>
        </is>
      </c>
      <c r="I96" s="10" t="inlineStr">
        <is>
          <t>لم يُفحص</t>
        </is>
      </c>
      <c r="J96" s="13" t="n">
        <v>9</v>
      </c>
      <c r="K96" s="11" t="inlineStr">
        <is>
          <t>تقدير</t>
        </is>
      </c>
      <c r="L96" s="14" t="n">
        <v>0.3</v>
      </c>
      <c r="M96" s="10" t="inlineStr">
        <is>
          <t>صغير</t>
        </is>
      </c>
      <c r="N96" s="11" t="inlineStr">
        <is>
          <t>طوال السنة</t>
        </is>
      </c>
      <c r="O96" s="11" t="inlineStr">
        <is>
          <t>تحقق من اللوائح</t>
        </is>
      </c>
      <c r="P96" s="15" t="n">
        <v>0.14</v>
      </c>
      <c r="Q96" s="14" t="n">
        <v>9.5</v>
      </c>
      <c r="R96" s="14" t="n">
        <v>50</v>
      </c>
      <c r="S96" s="16">
        <f>J96*'الافتراضات'!$B$2*(1+'الافتراضات'!$B$3)</f>
        <v/>
      </c>
      <c r="T96" s="16">
        <f>L96*'الافتراضات'!$B$4</f>
        <v/>
      </c>
      <c r="U96" s="16">
        <f>(S96+T96)*'الافتراضات'!$B$5</f>
        <v/>
      </c>
      <c r="V96" s="16">
        <f>S96+T96+U96</f>
        <v/>
      </c>
      <c r="W96" s="16">
        <f>MAX(1,E96*P96)</f>
        <v/>
      </c>
      <c r="X96" s="16">
        <f>E96*'الافتراضات'!$B$7</f>
        <v/>
      </c>
      <c r="Y96" s="16">
        <f>E96*'الافتراضات'!$B$8</f>
        <v/>
      </c>
      <c r="Z96" s="16">
        <f>E96/(1+'الافتراضات'!$B$6)</f>
        <v/>
      </c>
      <c r="AA96" s="16">
        <f>Z96-V96-W96-Q96-X96-Y96</f>
        <v/>
      </c>
      <c r="AB96" s="17">
        <f>IF(Z96=0,0,AA96/Z96)</f>
        <v/>
      </c>
      <c r="AC96" s="17">
        <f>IF(V96=0,0,AA96/V96)</f>
        <v/>
      </c>
      <c r="AD96" s="18">
        <f>R96*V96</f>
        <v/>
      </c>
      <c r="AE96" s="16">
        <f>IF(AB96&gt;='الافتراضات'!$B$9,IF(O96="لا","ابدأ به","جيد – يحتاج شهادة"),IF(AB96&gt;='الافتراضات'!$B$10,"مقبول","ضعيف"))</f>
        <v/>
      </c>
      <c r="AF96" s="16">
        <f>IF((1-'الافتراضات'!$B$9)/(1+'الافتراضات'!$B$6)-P96-'الافتراضات'!$B$7-'الافتراضات'!$B$8&lt;=0,0,(V96+Q96)/((1-'الافتراضات'!$B$9)/(1+'الافتراضات'!$B$6)-P96-'الافتراضات'!$B$7-'الافتراضات'!$B$8))</f>
        <v/>
      </c>
    </row>
    <row r="97">
      <c r="A97" s="10" t="n">
        <v>96</v>
      </c>
      <c r="B97" s="11" t="inlineStr">
        <is>
          <t>التخييم والسفر</t>
        </is>
      </c>
      <c r="C97" s="11" t="inlineStr">
        <is>
          <t>خيمة سريعة الفتح 4 أشخاص</t>
        </is>
      </c>
      <c r="D97" s="11" t="inlineStr">
        <is>
          <t>pop up camping tent 4 person</t>
        </is>
      </c>
      <c r="E97" s="12" t="n">
        <v>396</v>
      </c>
      <c r="F97" s="10" t="inlineStr">
        <is>
          <t>تقدير</t>
        </is>
      </c>
      <c r="G97" s="10" t="inlineStr">
        <is>
          <t>تقدير</t>
        </is>
      </c>
      <c r="H97" s="10" t="inlineStr">
        <is>
          <t>لم تُفحص</t>
        </is>
      </c>
      <c r="I97" s="10" t="inlineStr">
        <is>
          <t>لم يُفحص</t>
        </is>
      </c>
      <c r="J97" s="13" t="n">
        <v>35</v>
      </c>
      <c r="K97" s="11" t="inlineStr">
        <is>
          <t>تقدير</t>
        </is>
      </c>
      <c r="L97" s="14" t="n">
        <v>4</v>
      </c>
      <c r="M97" s="10" t="inlineStr">
        <is>
          <t>كبير</t>
        </is>
      </c>
      <c r="N97" s="11" t="inlineStr">
        <is>
          <t>الشتاء والكشتات</t>
        </is>
      </c>
      <c r="O97" s="11" t="inlineStr">
        <is>
          <t>لا</t>
        </is>
      </c>
      <c r="P97" s="15" t="n">
        <v>0.13</v>
      </c>
      <c r="Q97" s="14" t="n">
        <v>17</v>
      </c>
      <c r="R97" s="14" t="n">
        <v>50</v>
      </c>
      <c r="S97" s="16">
        <f>J97*'الافتراضات'!$B$2*(1+'الافتراضات'!$B$3)</f>
        <v/>
      </c>
      <c r="T97" s="16">
        <f>L97*'الافتراضات'!$B$4</f>
        <v/>
      </c>
      <c r="U97" s="16">
        <f>(S97+T97)*'الافتراضات'!$B$5</f>
        <v/>
      </c>
      <c r="V97" s="16">
        <f>S97+T97+U97</f>
        <v/>
      </c>
      <c r="W97" s="16">
        <f>MAX(1,E97*P97)</f>
        <v/>
      </c>
      <c r="X97" s="16">
        <f>E97*'الافتراضات'!$B$7</f>
        <v/>
      </c>
      <c r="Y97" s="16">
        <f>E97*'الافتراضات'!$B$8</f>
        <v/>
      </c>
      <c r="Z97" s="16">
        <f>E97/(1+'الافتراضات'!$B$6)</f>
        <v/>
      </c>
      <c r="AA97" s="16">
        <f>Z97-V97-W97-Q97-X97-Y97</f>
        <v/>
      </c>
      <c r="AB97" s="17">
        <f>IF(Z97=0,0,AA97/Z97)</f>
        <v/>
      </c>
      <c r="AC97" s="17">
        <f>IF(V97=0,0,AA97/V97)</f>
        <v/>
      </c>
      <c r="AD97" s="18">
        <f>R97*V97</f>
        <v/>
      </c>
      <c r="AE97" s="16">
        <f>IF(AB97&gt;='الافتراضات'!$B$9,IF(O97="لا","ابدأ به","جيد – يحتاج شهادة"),IF(AB97&gt;='الافتراضات'!$B$10,"مقبول","ضعيف"))</f>
        <v/>
      </c>
      <c r="AF97" s="16">
        <f>IF((1-'الافتراضات'!$B$9)/(1+'الافتراضات'!$B$6)-P97-'الافتراضات'!$B$7-'الافتراضات'!$B$8&lt;=0,0,(V97+Q97)/((1-'الافتراضات'!$B$9)/(1+'الافتراضات'!$B$6)-P97-'الافتراضات'!$B$7-'الافتراضات'!$B$8))</f>
        <v/>
      </c>
    </row>
    <row r="98">
      <c r="A98" s="10" t="n">
        <v>97</v>
      </c>
      <c r="B98" s="11" t="inlineStr">
        <is>
          <t>الأمان المنزلي</t>
        </is>
      </c>
      <c r="C98" s="11" t="inlineStr">
        <is>
          <t>إنذار شخصي</t>
        </is>
      </c>
      <c r="D98" s="11" t="inlineStr">
        <is>
          <t>personal safety alarm keychain</t>
        </is>
      </c>
      <c r="E98" s="12" t="n">
        <v>25</v>
      </c>
      <c r="F98" s="10" t="inlineStr">
        <is>
          <t>تقدير</t>
        </is>
      </c>
      <c r="G98" s="10" t="inlineStr">
        <is>
          <t>تقدير</t>
        </is>
      </c>
      <c r="H98" s="10" t="inlineStr">
        <is>
          <t>لم تُفحص</t>
        </is>
      </c>
      <c r="I98" s="10" t="inlineStr">
        <is>
          <t>لم يُفحص</t>
        </is>
      </c>
      <c r="J98" s="13" t="n">
        <v>1.4</v>
      </c>
      <c r="K98" s="11" t="inlineStr">
        <is>
          <t>تقدير</t>
        </is>
      </c>
      <c r="L98" s="14" t="n">
        <v>0.05</v>
      </c>
      <c r="M98" s="10" t="inlineStr">
        <is>
          <t>صغير</t>
        </is>
      </c>
      <c r="N98" s="11" t="inlineStr">
        <is>
          <t>طوال السنة</t>
        </is>
      </c>
      <c r="O98" s="11" t="inlineStr">
        <is>
          <t>SABER + بطارية ليثيوم</t>
        </is>
      </c>
      <c r="P98" s="15" t="n">
        <v>0.14</v>
      </c>
      <c r="Q98" s="14" t="n">
        <v>6</v>
      </c>
      <c r="R98" s="14" t="n">
        <v>50</v>
      </c>
      <c r="S98" s="16">
        <f>J98*'الافتراضات'!$B$2*(1+'الافتراضات'!$B$3)</f>
        <v/>
      </c>
      <c r="T98" s="16">
        <f>L98*'الافتراضات'!$B$4</f>
        <v/>
      </c>
      <c r="U98" s="16">
        <f>(S98+T98)*'الافتراضات'!$B$5</f>
        <v/>
      </c>
      <c r="V98" s="16">
        <f>S98+T98+U98</f>
        <v/>
      </c>
      <c r="W98" s="16">
        <f>MAX(1,E98*P98)</f>
        <v/>
      </c>
      <c r="X98" s="16">
        <f>E98*'الافتراضات'!$B$7</f>
        <v/>
      </c>
      <c r="Y98" s="16">
        <f>E98*'الافتراضات'!$B$8</f>
        <v/>
      </c>
      <c r="Z98" s="16">
        <f>E98/(1+'الافتراضات'!$B$6)</f>
        <v/>
      </c>
      <c r="AA98" s="16">
        <f>Z98-V98-W98-Q98-X98-Y98</f>
        <v/>
      </c>
      <c r="AB98" s="17">
        <f>IF(Z98=0,0,AA98/Z98)</f>
        <v/>
      </c>
      <c r="AC98" s="17">
        <f>IF(V98=0,0,AA98/V98)</f>
        <v/>
      </c>
      <c r="AD98" s="18">
        <f>R98*V98</f>
        <v/>
      </c>
      <c r="AE98" s="16">
        <f>IF(AB98&gt;='الافتراضات'!$B$9,IF(O98="لا","ابدأ به","جيد – يحتاج شهادة"),IF(AB98&gt;='الافتراضات'!$B$10,"مقبول","ضعيف"))</f>
        <v/>
      </c>
      <c r="AF98" s="16">
        <f>IF((1-'الافتراضات'!$B$9)/(1+'الافتراضات'!$B$6)-P98-'الافتراضات'!$B$7-'الافتراضات'!$B$8&lt;=0,0,(V98+Q98)/((1-'الافتراضات'!$B$9)/(1+'الافتراضات'!$B$6)-P98-'الافتراضات'!$B$7-'الافتراضات'!$B$8))</f>
        <v/>
      </c>
    </row>
    <row r="99">
      <c r="A99" s="10" t="n">
        <v>98</v>
      </c>
      <c r="B99" s="11" t="inlineStr">
        <is>
          <t>السيارات والدراجات</t>
        </is>
      </c>
      <c r="C99" s="11" t="inlineStr">
        <is>
          <t>حامل جوال بشاحن لاسلكي للسيارة</t>
        </is>
      </c>
      <c r="D99" s="11" t="inlineStr">
        <is>
          <t>car wireless charger mount</t>
        </is>
      </c>
      <c r="E99" s="12" t="n">
        <v>74</v>
      </c>
      <c r="F99" s="10" t="inlineStr">
        <is>
          <t>تقدير</t>
        </is>
      </c>
      <c r="G99" s="10" t="inlineStr">
        <is>
          <t>تقدير</t>
        </is>
      </c>
      <c r="H99" s="10" t="inlineStr">
        <is>
          <t>لم تُفحص</t>
        </is>
      </c>
      <c r="I99" s="10" t="inlineStr">
        <is>
          <t>لم يُفحص</t>
        </is>
      </c>
      <c r="J99" s="13" t="n">
        <v>6.5</v>
      </c>
      <c r="K99" s="11" t="inlineStr">
        <is>
          <t>تقدير</t>
        </is>
      </c>
      <c r="L99" s="14" t="n">
        <v>0.3</v>
      </c>
      <c r="M99" s="10" t="inlineStr">
        <is>
          <t>صغير</t>
        </is>
      </c>
      <c r="N99" s="11" t="inlineStr">
        <is>
          <t>طوال السنة</t>
        </is>
      </c>
      <c r="O99" s="11" t="inlineStr">
        <is>
          <t>SABER + بطارية ليثيوم</t>
        </is>
      </c>
      <c r="P99" s="15" t="n">
        <v>0.1</v>
      </c>
      <c r="Q99" s="14" t="n">
        <v>9.5</v>
      </c>
      <c r="R99" s="14" t="n">
        <v>50</v>
      </c>
      <c r="S99" s="16">
        <f>J99*'الافتراضات'!$B$2*(1+'الافتراضات'!$B$3)</f>
        <v/>
      </c>
      <c r="T99" s="16">
        <f>L99*'الافتراضات'!$B$4</f>
        <v/>
      </c>
      <c r="U99" s="16">
        <f>(S99+T99)*'الافتراضات'!$B$5</f>
        <v/>
      </c>
      <c r="V99" s="16">
        <f>S99+T99+U99</f>
        <v/>
      </c>
      <c r="W99" s="16">
        <f>MAX(1,E99*P99)</f>
        <v/>
      </c>
      <c r="X99" s="16">
        <f>E99*'الافتراضات'!$B$7</f>
        <v/>
      </c>
      <c r="Y99" s="16">
        <f>E99*'الافتراضات'!$B$8</f>
        <v/>
      </c>
      <c r="Z99" s="16">
        <f>E99/(1+'الافتراضات'!$B$6)</f>
        <v/>
      </c>
      <c r="AA99" s="16">
        <f>Z99-V99-W99-Q99-X99-Y99</f>
        <v/>
      </c>
      <c r="AB99" s="17">
        <f>IF(Z99=0,0,AA99/Z99)</f>
        <v/>
      </c>
      <c r="AC99" s="17">
        <f>IF(V99=0,0,AA99/V99)</f>
        <v/>
      </c>
      <c r="AD99" s="18">
        <f>R99*V99</f>
        <v/>
      </c>
      <c r="AE99" s="16">
        <f>IF(AB99&gt;='الافتراضات'!$B$9,IF(O99="لا","ابدأ به","جيد – يحتاج شهادة"),IF(AB99&gt;='الافتراضات'!$B$10,"مقبول","ضعيف"))</f>
        <v/>
      </c>
      <c r="AF99" s="16">
        <f>IF((1-'الافتراضات'!$B$9)/(1+'الافتراضات'!$B$6)-P99-'الافتراضات'!$B$7-'الافتراضات'!$B$8&lt;=0,0,(V99+Q99)/((1-'الافتراضات'!$B$9)/(1+'الافتراضات'!$B$6)-P99-'الافتراضات'!$B$7-'الافتراضات'!$B$8))</f>
        <v/>
      </c>
    </row>
    <row r="100">
      <c r="A100" s="10" t="n">
        <v>99</v>
      </c>
      <c r="B100" s="11" t="inlineStr">
        <is>
          <t>إكسسوارات الجوال والإلكترونيات</t>
        </is>
      </c>
      <c r="C100" s="11" t="inlineStr">
        <is>
          <t>واقي شاشة جوال زجاج 3 قطع</t>
        </is>
      </c>
      <c r="D100" s="11" t="inlineStr">
        <is>
          <t>phone tempered glass 3 pack</t>
        </is>
      </c>
      <c r="E100" s="12" t="n">
        <v>25</v>
      </c>
      <c r="F100" s="10" t="inlineStr">
        <is>
          <t>تقدير</t>
        </is>
      </c>
      <c r="G100" s="10" t="inlineStr">
        <is>
          <t>تقدير</t>
        </is>
      </c>
      <c r="H100" s="10" t="inlineStr">
        <is>
          <t>لم تُفحص</t>
        </is>
      </c>
      <c r="I100" s="10" t="inlineStr">
        <is>
          <t>لم يُفحص</t>
        </is>
      </c>
      <c r="J100" s="13" t="n">
        <v>1</v>
      </c>
      <c r="K100" s="11" t="inlineStr">
        <is>
          <t>تقدير</t>
        </is>
      </c>
      <c r="L100" s="14" t="n">
        <v>0.08</v>
      </c>
      <c r="M100" s="10" t="inlineStr">
        <is>
          <t>صغير</t>
        </is>
      </c>
      <c r="N100" s="11" t="inlineStr">
        <is>
          <t>طوال السنة</t>
        </is>
      </c>
      <c r="O100" s="11" t="inlineStr">
        <is>
          <t>لا</t>
        </is>
      </c>
      <c r="P100" s="15" t="n">
        <v>0.2</v>
      </c>
      <c r="Q100" s="14" t="n">
        <v>6</v>
      </c>
      <c r="R100" s="14" t="n">
        <v>50</v>
      </c>
      <c r="S100" s="16">
        <f>J100*'الافتراضات'!$B$2*(1+'الافتراضات'!$B$3)</f>
        <v/>
      </c>
      <c r="T100" s="16">
        <f>L100*'الافتراضات'!$B$4</f>
        <v/>
      </c>
      <c r="U100" s="16">
        <f>(S100+T100)*'الافتراضات'!$B$5</f>
        <v/>
      </c>
      <c r="V100" s="16">
        <f>S100+T100+U100</f>
        <v/>
      </c>
      <c r="W100" s="16">
        <f>MAX(1,E100*P100)</f>
        <v/>
      </c>
      <c r="X100" s="16">
        <f>E100*'الافتراضات'!$B$7</f>
        <v/>
      </c>
      <c r="Y100" s="16">
        <f>E100*'الافتراضات'!$B$8</f>
        <v/>
      </c>
      <c r="Z100" s="16">
        <f>E100/(1+'الافتراضات'!$B$6)</f>
        <v/>
      </c>
      <c r="AA100" s="16">
        <f>Z100-V100-W100-Q100-X100-Y100</f>
        <v/>
      </c>
      <c r="AB100" s="17">
        <f>IF(Z100=0,0,AA100/Z100)</f>
        <v/>
      </c>
      <c r="AC100" s="17">
        <f>IF(V100=0,0,AA100/V100)</f>
        <v/>
      </c>
      <c r="AD100" s="18">
        <f>R100*V100</f>
        <v/>
      </c>
      <c r="AE100" s="16">
        <f>IF(AB100&gt;='الافتراضات'!$B$9,IF(O100="لا","ابدأ به","جيد – يحتاج شهادة"),IF(AB100&gt;='الافتراضات'!$B$10,"مقبول","ضعيف"))</f>
        <v/>
      </c>
      <c r="AF100" s="16">
        <f>IF((1-'الافتراضات'!$B$9)/(1+'الافتراضات'!$B$6)-P100-'الافتراضات'!$B$7-'الافتراضات'!$B$8&lt;=0,0,(V100+Q100)/((1-'الافتراضات'!$B$9)/(1+'الافتراضات'!$B$6)-P100-'الافتراضات'!$B$7-'الافتراضات'!$B$8))</f>
        <v/>
      </c>
    </row>
    <row r="101">
      <c r="A101" s="10" t="n">
        <v>100</v>
      </c>
      <c r="B101" s="11" t="inlineStr">
        <is>
          <t>التخييم والسفر</t>
        </is>
      </c>
      <c r="C101" s="11" t="inlineStr">
        <is>
          <t>جهاز بوصلة</t>
        </is>
      </c>
      <c r="D101" s="11" t="inlineStr">
        <is>
          <t>compass hiking</t>
        </is>
      </c>
      <c r="E101" s="12" t="n">
        <v>25</v>
      </c>
      <c r="F101" s="10" t="inlineStr">
        <is>
          <t>تقدير</t>
        </is>
      </c>
      <c r="G101" s="10" t="inlineStr">
        <is>
          <t>تقدير</t>
        </is>
      </c>
      <c r="H101" s="10" t="inlineStr">
        <is>
          <t>لم تُفحص</t>
        </is>
      </c>
      <c r="I101" s="10" t="inlineStr">
        <is>
          <t>لم يُفحص</t>
        </is>
      </c>
      <c r="J101" s="13" t="n">
        <v>1</v>
      </c>
      <c r="K101" s="11" t="inlineStr">
        <is>
          <t>تقدير</t>
        </is>
      </c>
      <c r="L101" s="14" t="n">
        <v>0.08</v>
      </c>
      <c r="M101" s="10" t="inlineStr">
        <is>
          <t>صغير</t>
        </is>
      </c>
      <c r="N101" s="11" t="inlineStr">
        <is>
          <t>طوال السنة</t>
        </is>
      </c>
      <c r="O101" s="11" t="inlineStr">
        <is>
          <t>لا</t>
        </is>
      </c>
      <c r="P101" s="15" t="n">
        <v>0.2</v>
      </c>
      <c r="Q101" s="14" t="n">
        <v>6</v>
      </c>
      <c r="R101" s="14" t="n">
        <v>50</v>
      </c>
      <c r="S101" s="16">
        <f>J101*'الافتراضات'!$B$2*(1+'الافتراضات'!$B$3)</f>
        <v/>
      </c>
      <c r="T101" s="16">
        <f>L101*'الافتراضات'!$B$4</f>
        <v/>
      </c>
      <c r="U101" s="16">
        <f>(S101+T101)*'الافتراضات'!$B$5</f>
        <v/>
      </c>
      <c r="V101" s="16">
        <f>S101+T101+U101</f>
        <v/>
      </c>
      <c r="W101" s="16">
        <f>MAX(1,E101*P101)</f>
        <v/>
      </c>
      <c r="X101" s="16">
        <f>E101*'الافتراضات'!$B$7</f>
        <v/>
      </c>
      <c r="Y101" s="16">
        <f>E101*'الافتراضات'!$B$8</f>
        <v/>
      </c>
      <c r="Z101" s="16">
        <f>E101/(1+'الافتراضات'!$B$6)</f>
        <v/>
      </c>
      <c r="AA101" s="16">
        <f>Z101-V101-W101-Q101-X101-Y101</f>
        <v/>
      </c>
      <c r="AB101" s="17">
        <f>IF(Z101=0,0,AA101/Z101)</f>
        <v/>
      </c>
      <c r="AC101" s="17">
        <f>IF(V101=0,0,AA101/V101)</f>
        <v/>
      </c>
      <c r="AD101" s="18">
        <f>R101*V101</f>
        <v/>
      </c>
      <c r="AE101" s="16">
        <f>IF(AB101&gt;='الافتراضات'!$B$9,IF(O101="لا","ابدأ به","جيد – يحتاج شهادة"),IF(AB101&gt;='الافتراضات'!$B$10,"مقبول","ضعيف"))</f>
        <v/>
      </c>
      <c r="AF101" s="16">
        <f>IF((1-'الافتراضات'!$B$9)/(1+'الافتراضات'!$B$6)-P101-'الافتراضات'!$B$7-'الافتراضات'!$B$8&lt;=0,0,(V101+Q101)/((1-'الافتراضات'!$B$9)/(1+'الافتراضات'!$B$6)-P101-'الافتراضات'!$B$7-'الافتراضات'!$B$8))</f>
        <v/>
      </c>
    </row>
    <row r="102">
      <c r="A102" s="10" t="n">
        <v>101</v>
      </c>
      <c r="B102" s="11" t="inlineStr">
        <is>
          <t>المكتب والدراسة</t>
        </is>
      </c>
      <c r="C102" s="11" t="inlineStr">
        <is>
          <t>أقلام تحديد فلورسنت 8</t>
        </is>
      </c>
      <c r="D102" s="11" t="inlineStr">
        <is>
          <t>highlighters pastel set</t>
        </is>
      </c>
      <c r="E102" s="12" t="n">
        <v>25</v>
      </c>
      <c r="F102" s="10" t="inlineStr">
        <is>
          <t>تقدير</t>
        </is>
      </c>
      <c r="G102" s="10" t="inlineStr">
        <is>
          <t>تقدير</t>
        </is>
      </c>
      <c r="H102" s="10" t="inlineStr">
        <is>
          <t>لم تُفحص</t>
        </is>
      </c>
      <c r="I102" s="10" t="inlineStr">
        <is>
          <t>لم يُفحص</t>
        </is>
      </c>
      <c r="J102" s="13" t="n">
        <v>1</v>
      </c>
      <c r="K102" s="11" t="inlineStr">
        <is>
          <t>تقدير</t>
        </is>
      </c>
      <c r="L102" s="14" t="n">
        <v>0.2</v>
      </c>
      <c r="M102" s="10" t="inlineStr">
        <is>
          <t>صغير</t>
        </is>
      </c>
      <c r="N102" s="11" t="inlineStr">
        <is>
          <t>العودة للمدارس</t>
        </is>
      </c>
      <c r="O102" s="11" t="inlineStr">
        <is>
          <t>لا</t>
        </is>
      </c>
      <c r="P102" s="15" t="n">
        <v>0.12</v>
      </c>
      <c r="Q102" s="14" t="n">
        <v>7</v>
      </c>
      <c r="R102" s="14" t="n">
        <v>50</v>
      </c>
      <c r="S102" s="16">
        <f>J102*'الافتراضات'!$B$2*(1+'الافتراضات'!$B$3)</f>
        <v/>
      </c>
      <c r="T102" s="16">
        <f>L102*'الافتراضات'!$B$4</f>
        <v/>
      </c>
      <c r="U102" s="16">
        <f>(S102+T102)*'الافتراضات'!$B$5</f>
        <v/>
      </c>
      <c r="V102" s="16">
        <f>S102+T102+U102</f>
        <v/>
      </c>
      <c r="W102" s="16">
        <f>MAX(1,E102*P102)</f>
        <v/>
      </c>
      <c r="X102" s="16">
        <f>E102*'الافتراضات'!$B$7</f>
        <v/>
      </c>
      <c r="Y102" s="16">
        <f>E102*'الافتراضات'!$B$8</f>
        <v/>
      </c>
      <c r="Z102" s="16">
        <f>E102/(1+'الافتراضات'!$B$6)</f>
        <v/>
      </c>
      <c r="AA102" s="16">
        <f>Z102-V102-W102-Q102-X102-Y102</f>
        <v/>
      </c>
      <c r="AB102" s="17">
        <f>IF(Z102=0,0,AA102/Z102)</f>
        <v/>
      </c>
      <c r="AC102" s="17">
        <f>IF(V102=0,0,AA102/V102)</f>
        <v/>
      </c>
      <c r="AD102" s="18">
        <f>R102*V102</f>
        <v/>
      </c>
      <c r="AE102" s="16">
        <f>IF(AB102&gt;='الافتراضات'!$B$9,IF(O102="لا","ابدأ به","جيد – يحتاج شهادة"),IF(AB102&gt;='الافتراضات'!$B$10,"مقبول","ضعيف"))</f>
        <v/>
      </c>
      <c r="AF102" s="16">
        <f>IF((1-'الافتراضات'!$B$9)/(1+'الافتراضات'!$B$6)-P102-'الافتراضات'!$B$7-'الافتراضات'!$B$8&lt;=0,0,(V102+Q102)/((1-'الافتراضات'!$B$9)/(1+'الافتراضات'!$B$6)-P102-'الافتراضات'!$B$7-'الافتراضات'!$B$8))</f>
        <v/>
      </c>
    </row>
    <row r="103">
      <c r="A103" s="10" t="n">
        <v>102</v>
      </c>
      <c r="B103" s="11" t="inlineStr">
        <is>
          <t>التخييم والسفر</t>
        </is>
      </c>
      <c r="C103" s="11" t="inlineStr">
        <is>
          <t>نظارة مناظير</t>
        </is>
      </c>
      <c r="D103" s="11" t="inlineStr">
        <is>
          <t>binoculars compact</t>
        </is>
      </c>
      <c r="E103" s="12" t="n">
        <v>102</v>
      </c>
      <c r="F103" s="10" t="inlineStr">
        <is>
          <t>تقدير</t>
        </is>
      </c>
      <c r="G103" s="10" t="inlineStr">
        <is>
          <t>تقدير</t>
        </is>
      </c>
      <c r="H103" s="10" t="inlineStr">
        <is>
          <t>لم تُفحص</t>
        </is>
      </c>
      <c r="I103" s="10" t="inlineStr">
        <is>
          <t>لم يُفحص</t>
        </is>
      </c>
      <c r="J103" s="13" t="n">
        <v>9</v>
      </c>
      <c r="K103" s="11" t="inlineStr">
        <is>
          <t>تقدير</t>
        </is>
      </c>
      <c r="L103" s="14" t="n">
        <v>0.5</v>
      </c>
      <c r="M103" s="10" t="inlineStr">
        <is>
          <t>متوسط</t>
        </is>
      </c>
      <c r="N103" s="11" t="inlineStr">
        <is>
          <t>طوال السنة</t>
        </is>
      </c>
      <c r="O103" s="11" t="inlineStr">
        <is>
          <t>لا</t>
        </is>
      </c>
      <c r="P103" s="15" t="n">
        <v>0.13</v>
      </c>
      <c r="Q103" s="14" t="n">
        <v>9.5</v>
      </c>
      <c r="R103" s="14" t="n">
        <v>50</v>
      </c>
      <c r="S103" s="16">
        <f>J103*'الافتراضات'!$B$2*(1+'الافتراضات'!$B$3)</f>
        <v/>
      </c>
      <c r="T103" s="16">
        <f>L103*'الافتراضات'!$B$4</f>
        <v/>
      </c>
      <c r="U103" s="16">
        <f>(S103+T103)*'الافتراضات'!$B$5</f>
        <v/>
      </c>
      <c r="V103" s="16">
        <f>S103+T103+U103</f>
        <v/>
      </c>
      <c r="W103" s="16">
        <f>MAX(1,E103*P103)</f>
        <v/>
      </c>
      <c r="X103" s="16">
        <f>E103*'الافتراضات'!$B$7</f>
        <v/>
      </c>
      <c r="Y103" s="16">
        <f>E103*'الافتراضات'!$B$8</f>
        <v/>
      </c>
      <c r="Z103" s="16">
        <f>E103/(1+'الافتراضات'!$B$6)</f>
        <v/>
      </c>
      <c r="AA103" s="16">
        <f>Z103-V103-W103-Q103-X103-Y103</f>
        <v/>
      </c>
      <c r="AB103" s="17">
        <f>IF(Z103=0,0,AA103/Z103)</f>
        <v/>
      </c>
      <c r="AC103" s="17">
        <f>IF(V103=0,0,AA103/V103)</f>
        <v/>
      </c>
      <c r="AD103" s="18">
        <f>R103*V103</f>
        <v/>
      </c>
      <c r="AE103" s="16">
        <f>IF(AB103&gt;='الافتراضات'!$B$9,IF(O103="لا","ابدأ به","جيد – يحتاج شهادة"),IF(AB103&gt;='الافتراضات'!$B$10,"مقبول","ضعيف"))</f>
        <v/>
      </c>
      <c r="AF103" s="16">
        <f>IF((1-'الافتراضات'!$B$9)/(1+'الافتراضات'!$B$6)-P103-'الافتراضات'!$B$7-'الافتراضات'!$B$8&lt;=0,0,(V103+Q103)/((1-'الافتراضات'!$B$9)/(1+'الافتراضات'!$B$6)-P103-'الافتراضات'!$B$7-'الافتراضات'!$B$8))</f>
        <v/>
      </c>
    </row>
    <row r="104">
      <c r="A104" s="10" t="n">
        <v>103</v>
      </c>
      <c r="B104" s="11" t="inlineStr">
        <is>
          <t>رمضان والمناسبات</t>
        </is>
      </c>
      <c r="C104" s="11" t="inlineStr">
        <is>
          <t>ساعة أذان رقمية</t>
        </is>
      </c>
      <c r="D104" s="11" t="inlineStr">
        <is>
          <t>azan clock digital</t>
        </is>
      </c>
      <c r="E104" s="12" t="n">
        <v>79</v>
      </c>
      <c r="F104" s="10" t="inlineStr">
        <is>
          <t>تقدير</t>
        </is>
      </c>
      <c r="G104" s="10" t="inlineStr">
        <is>
          <t>تقدير</t>
        </is>
      </c>
      <c r="H104" s="10" t="inlineStr">
        <is>
          <t>لم تُفحص</t>
        </is>
      </c>
      <c r="I104" s="10" t="inlineStr">
        <is>
          <t>لم يُفحص</t>
        </is>
      </c>
      <c r="J104" s="13" t="n">
        <v>7</v>
      </c>
      <c r="K104" s="11" t="inlineStr">
        <is>
          <t>تقدير</t>
        </is>
      </c>
      <c r="L104" s="14" t="n">
        <v>0.4</v>
      </c>
      <c r="M104" s="10" t="inlineStr">
        <is>
          <t>متوسط</t>
        </is>
      </c>
      <c r="N104" s="11" t="inlineStr">
        <is>
          <t>رمضان والمناسبات</t>
        </is>
      </c>
      <c r="O104" s="11" t="inlineStr">
        <is>
          <t>SABER + بطارية ليثيوم</t>
        </is>
      </c>
      <c r="P104" s="15" t="n">
        <v>0.1</v>
      </c>
      <c r="Q104" s="14" t="n">
        <v>9.5</v>
      </c>
      <c r="R104" s="14" t="n">
        <v>50</v>
      </c>
      <c r="S104" s="16">
        <f>J104*'الافتراضات'!$B$2*(1+'الافتراضات'!$B$3)</f>
        <v/>
      </c>
      <c r="T104" s="16">
        <f>L104*'الافتراضات'!$B$4</f>
        <v/>
      </c>
      <c r="U104" s="16">
        <f>(S104+T104)*'الافتراضات'!$B$5</f>
        <v/>
      </c>
      <c r="V104" s="16">
        <f>S104+T104+U104</f>
        <v/>
      </c>
      <c r="W104" s="16">
        <f>MAX(1,E104*P104)</f>
        <v/>
      </c>
      <c r="X104" s="16">
        <f>E104*'الافتراضات'!$B$7</f>
        <v/>
      </c>
      <c r="Y104" s="16">
        <f>E104*'الافتراضات'!$B$8</f>
        <v/>
      </c>
      <c r="Z104" s="16">
        <f>E104/(1+'الافتراضات'!$B$6)</f>
        <v/>
      </c>
      <c r="AA104" s="16">
        <f>Z104-V104-W104-Q104-X104-Y104</f>
        <v/>
      </c>
      <c r="AB104" s="17">
        <f>IF(Z104=0,0,AA104/Z104)</f>
        <v/>
      </c>
      <c r="AC104" s="17">
        <f>IF(V104=0,0,AA104/V104)</f>
        <v/>
      </c>
      <c r="AD104" s="18">
        <f>R104*V104</f>
        <v/>
      </c>
      <c r="AE104" s="16">
        <f>IF(AB104&gt;='الافتراضات'!$B$9,IF(O104="لا","ابدأ به","جيد – يحتاج شهادة"),IF(AB104&gt;='الافتراضات'!$B$10,"مقبول","ضعيف"))</f>
        <v/>
      </c>
      <c r="AF104" s="16">
        <f>IF((1-'الافتراضات'!$B$9)/(1+'الافتراضات'!$B$6)-P104-'الافتراضات'!$B$7-'الافتراضات'!$B$8&lt;=0,0,(V104+Q104)/((1-'الافتراضات'!$B$9)/(1+'الافتراضات'!$B$6)-P104-'الافتراضات'!$B$7-'الافتراضات'!$B$8))</f>
        <v/>
      </c>
    </row>
    <row r="105">
      <c r="A105" s="10" t="n">
        <v>104</v>
      </c>
      <c r="B105" s="11" t="inlineStr">
        <is>
          <t>رمضان والمناسبات</t>
        </is>
      </c>
      <c r="C105" s="11" t="inlineStr">
        <is>
          <t>بالونات عيد مبارك</t>
        </is>
      </c>
      <c r="D105" s="11" t="inlineStr">
        <is>
          <t>eid mubarak balloons set</t>
        </is>
      </c>
      <c r="E105" s="12" t="n">
        <v>25</v>
      </c>
      <c r="F105" s="10" t="inlineStr">
        <is>
          <t>تقدير</t>
        </is>
      </c>
      <c r="G105" s="10" t="inlineStr">
        <is>
          <t>تقدير</t>
        </is>
      </c>
      <c r="H105" s="10" t="inlineStr">
        <is>
          <t>لم تُفحص</t>
        </is>
      </c>
      <c r="I105" s="10" t="inlineStr">
        <is>
          <t>لم يُفحص</t>
        </is>
      </c>
      <c r="J105" s="13" t="n">
        <v>1</v>
      </c>
      <c r="K105" s="11" t="inlineStr">
        <is>
          <t>تقدير</t>
        </is>
      </c>
      <c r="L105" s="14" t="n">
        <v>0.15</v>
      </c>
      <c r="M105" s="10" t="inlineStr">
        <is>
          <t>صغير</t>
        </is>
      </c>
      <c r="N105" s="11" t="inlineStr">
        <is>
          <t>رمضان والمناسبات</t>
        </is>
      </c>
      <c r="O105" s="11" t="inlineStr">
        <is>
          <t>لا</t>
        </is>
      </c>
      <c r="P105" s="15" t="n">
        <v>0.14</v>
      </c>
      <c r="Q105" s="14" t="n">
        <v>7</v>
      </c>
      <c r="R105" s="14" t="n">
        <v>50</v>
      </c>
      <c r="S105" s="16">
        <f>J105*'الافتراضات'!$B$2*(1+'الافتراضات'!$B$3)</f>
        <v/>
      </c>
      <c r="T105" s="16">
        <f>L105*'الافتراضات'!$B$4</f>
        <v/>
      </c>
      <c r="U105" s="16">
        <f>(S105+T105)*'الافتراضات'!$B$5</f>
        <v/>
      </c>
      <c r="V105" s="16">
        <f>S105+T105+U105</f>
        <v/>
      </c>
      <c r="W105" s="16">
        <f>MAX(1,E105*P105)</f>
        <v/>
      </c>
      <c r="X105" s="16">
        <f>E105*'الافتراضات'!$B$7</f>
        <v/>
      </c>
      <c r="Y105" s="16">
        <f>E105*'الافتراضات'!$B$8</f>
        <v/>
      </c>
      <c r="Z105" s="16">
        <f>E105/(1+'الافتراضات'!$B$6)</f>
        <v/>
      </c>
      <c r="AA105" s="16">
        <f>Z105-V105-W105-Q105-X105-Y105</f>
        <v/>
      </c>
      <c r="AB105" s="17">
        <f>IF(Z105=0,0,AA105/Z105)</f>
        <v/>
      </c>
      <c r="AC105" s="17">
        <f>IF(V105=0,0,AA105/V105)</f>
        <v/>
      </c>
      <c r="AD105" s="18">
        <f>R105*V105</f>
        <v/>
      </c>
      <c r="AE105" s="16">
        <f>IF(AB105&gt;='الافتراضات'!$B$9,IF(O105="لا","ابدأ به","جيد – يحتاج شهادة"),IF(AB105&gt;='الافتراضات'!$B$10,"مقبول","ضعيف"))</f>
        <v/>
      </c>
      <c r="AF105" s="16">
        <f>IF((1-'الافتراضات'!$B$9)/(1+'الافتراضات'!$B$6)-P105-'الافتراضات'!$B$7-'الافتراضات'!$B$8&lt;=0,0,(V105+Q105)/((1-'الافتراضات'!$B$9)/(1+'الافتراضات'!$B$6)-P105-'الافتراضات'!$B$7-'الافتراضات'!$B$8))</f>
        <v/>
      </c>
    </row>
    <row r="106">
      <c r="A106" s="10" t="n">
        <v>105</v>
      </c>
      <c r="B106" s="11" t="inlineStr">
        <is>
          <t>الأدوات والصيانة</t>
        </is>
      </c>
      <c r="C106" s="11" t="inlineStr">
        <is>
          <t>مستوى ليزر ذاتي</t>
        </is>
      </c>
      <c r="D106" s="11" t="inlineStr">
        <is>
          <t>laser level self leveling</t>
        </is>
      </c>
      <c r="E106" s="12" t="n">
        <v>102</v>
      </c>
      <c r="F106" s="10" t="inlineStr">
        <is>
          <t>تقدير</t>
        </is>
      </c>
      <c r="G106" s="10" t="inlineStr">
        <is>
          <t>تقدير</t>
        </is>
      </c>
      <c r="H106" s="10" t="inlineStr">
        <is>
          <t>لم تُفحص</t>
        </is>
      </c>
      <c r="I106" s="10" t="inlineStr">
        <is>
          <t>لم يُفحص</t>
        </is>
      </c>
      <c r="J106" s="13" t="n">
        <v>9</v>
      </c>
      <c r="K106" s="11" t="inlineStr">
        <is>
          <t>تقدير</t>
        </is>
      </c>
      <c r="L106" s="14" t="n">
        <v>0.4</v>
      </c>
      <c r="M106" s="10" t="inlineStr">
        <is>
          <t>متوسط</t>
        </is>
      </c>
      <c r="N106" s="11" t="inlineStr">
        <is>
          <t>طوال السنة</t>
        </is>
      </c>
      <c r="O106" s="11" t="inlineStr">
        <is>
          <t>SABER + بطارية ليثيوم</t>
        </is>
      </c>
      <c r="P106" s="15" t="n">
        <v>0.14</v>
      </c>
      <c r="Q106" s="14" t="n">
        <v>9.5</v>
      </c>
      <c r="R106" s="14" t="n">
        <v>50</v>
      </c>
      <c r="S106" s="16">
        <f>J106*'الافتراضات'!$B$2*(1+'الافتراضات'!$B$3)</f>
        <v/>
      </c>
      <c r="T106" s="16">
        <f>L106*'الافتراضات'!$B$4</f>
        <v/>
      </c>
      <c r="U106" s="16">
        <f>(S106+T106)*'الافتراضات'!$B$5</f>
        <v/>
      </c>
      <c r="V106" s="16">
        <f>S106+T106+U106</f>
        <v/>
      </c>
      <c r="W106" s="16">
        <f>MAX(1,E106*P106)</f>
        <v/>
      </c>
      <c r="X106" s="16">
        <f>E106*'الافتراضات'!$B$7</f>
        <v/>
      </c>
      <c r="Y106" s="16">
        <f>E106*'الافتراضات'!$B$8</f>
        <v/>
      </c>
      <c r="Z106" s="16">
        <f>E106/(1+'الافتراضات'!$B$6)</f>
        <v/>
      </c>
      <c r="AA106" s="16">
        <f>Z106-V106-W106-Q106-X106-Y106</f>
        <v/>
      </c>
      <c r="AB106" s="17">
        <f>IF(Z106=0,0,AA106/Z106)</f>
        <v/>
      </c>
      <c r="AC106" s="17">
        <f>IF(V106=0,0,AA106/V106)</f>
        <v/>
      </c>
      <c r="AD106" s="18">
        <f>R106*V106</f>
        <v/>
      </c>
      <c r="AE106" s="16">
        <f>IF(AB106&gt;='الافتراضات'!$B$9,IF(O106="لا","ابدأ به","جيد – يحتاج شهادة"),IF(AB106&gt;='الافتراضات'!$B$10,"مقبول","ضعيف"))</f>
        <v/>
      </c>
      <c r="AF106" s="16">
        <f>IF((1-'الافتراضات'!$B$9)/(1+'الافتراضات'!$B$6)-P106-'الافتراضات'!$B$7-'الافتراضات'!$B$8&lt;=0,0,(V106+Q106)/((1-'الافتراضات'!$B$9)/(1+'الافتراضات'!$B$6)-P106-'الافتراضات'!$B$7-'الافتراضات'!$B$8))</f>
        <v/>
      </c>
    </row>
    <row r="107">
      <c r="A107" s="10" t="n">
        <v>106</v>
      </c>
      <c r="B107" s="11" t="inlineStr">
        <is>
          <t>التنظيف والغسيل</t>
        </is>
      </c>
      <c r="C107" s="11" t="inlineStr">
        <is>
          <t>كيس غسيل للملابس</t>
        </is>
      </c>
      <c r="D107" s="11" t="inlineStr">
        <is>
          <t>laundry wash bags set</t>
        </is>
      </c>
      <c r="E107" s="12" t="n">
        <v>25</v>
      </c>
      <c r="F107" s="10" t="inlineStr">
        <is>
          <t>تقدير</t>
        </is>
      </c>
      <c r="G107" s="10" t="inlineStr">
        <is>
          <t>تقدير</t>
        </is>
      </c>
      <c r="H107" s="10" t="inlineStr">
        <is>
          <t>لم تُفحص</t>
        </is>
      </c>
      <c r="I107" s="10" t="inlineStr">
        <is>
          <t>لم يُفحص</t>
        </is>
      </c>
      <c r="J107" s="13" t="n">
        <v>1.2</v>
      </c>
      <c r="K107" s="11" t="inlineStr">
        <is>
          <t>تقدير</t>
        </is>
      </c>
      <c r="L107" s="14" t="n">
        <v>0.2</v>
      </c>
      <c r="M107" s="10" t="inlineStr">
        <is>
          <t>صغير</t>
        </is>
      </c>
      <c r="N107" s="11" t="inlineStr">
        <is>
          <t>طوال السنة</t>
        </is>
      </c>
      <c r="O107" s="11" t="inlineStr">
        <is>
          <t>لا</t>
        </is>
      </c>
      <c r="P107" s="15" t="n">
        <v>0.09</v>
      </c>
      <c r="Q107" s="14" t="n">
        <v>7</v>
      </c>
      <c r="R107" s="14" t="n">
        <v>50</v>
      </c>
      <c r="S107" s="16">
        <f>J107*'الافتراضات'!$B$2*(1+'الافتراضات'!$B$3)</f>
        <v/>
      </c>
      <c r="T107" s="16">
        <f>L107*'الافتراضات'!$B$4</f>
        <v/>
      </c>
      <c r="U107" s="16">
        <f>(S107+T107)*'الافتراضات'!$B$5</f>
        <v/>
      </c>
      <c r="V107" s="16">
        <f>S107+T107+U107</f>
        <v/>
      </c>
      <c r="W107" s="16">
        <f>MAX(1,E107*P107)</f>
        <v/>
      </c>
      <c r="X107" s="16">
        <f>E107*'الافتراضات'!$B$7</f>
        <v/>
      </c>
      <c r="Y107" s="16">
        <f>E107*'الافتراضات'!$B$8</f>
        <v/>
      </c>
      <c r="Z107" s="16">
        <f>E107/(1+'الافتراضات'!$B$6)</f>
        <v/>
      </c>
      <c r="AA107" s="16">
        <f>Z107-V107-W107-Q107-X107-Y107</f>
        <v/>
      </c>
      <c r="AB107" s="17">
        <f>IF(Z107=0,0,AA107/Z107)</f>
        <v/>
      </c>
      <c r="AC107" s="17">
        <f>IF(V107=0,0,AA107/V107)</f>
        <v/>
      </c>
      <c r="AD107" s="18">
        <f>R107*V107</f>
        <v/>
      </c>
      <c r="AE107" s="16">
        <f>IF(AB107&gt;='الافتراضات'!$B$9,IF(O107="لا","ابدأ به","جيد – يحتاج شهادة"),IF(AB107&gt;='الافتراضات'!$B$10,"مقبول","ضعيف"))</f>
        <v/>
      </c>
      <c r="AF107" s="16">
        <f>IF((1-'الافتراضات'!$B$9)/(1+'الافتراضات'!$B$6)-P107-'الافتراضات'!$B$7-'الافتراضات'!$B$8&lt;=0,0,(V107+Q107)/((1-'الافتراضات'!$B$9)/(1+'الافتراضات'!$B$6)-P107-'الافتراضات'!$B$7-'الافتراضات'!$B$8))</f>
        <v/>
      </c>
    </row>
    <row r="108">
      <c r="A108" s="10" t="n">
        <v>107</v>
      </c>
      <c r="B108" s="11" t="inlineStr">
        <is>
          <t>الرياضة واللياقة</t>
        </is>
      </c>
      <c r="C108" s="11" t="inlineStr">
        <is>
          <t>مضخة كرة</t>
        </is>
      </c>
      <c r="D108" s="11" t="inlineStr">
        <is>
          <t>ball pump needle</t>
        </is>
      </c>
      <c r="E108" s="12" t="n">
        <v>25</v>
      </c>
      <c r="F108" s="10" t="inlineStr">
        <is>
          <t>تقدير</t>
        </is>
      </c>
      <c r="G108" s="10" t="inlineStr">
        <is>
          <t>تقدير</t>
        </is>
      </c>
      <c r="H108" s="10" t="inlineStr">
        <is>
          <t>لم تُفحص</t>
        </is>
      </c>
      <c r="I108" s="10" t="inlineStr">
        <is>
          <t>لم يُفحص</t>
        </is>
      </c>
      <c r="J108" s="13" t="n">
        <v>1</v>
      </c>
      <c r="K108" s="11" t="inlineStr">
        <is>
          <t>تقدير</t>
        </is>
      </c>
      <c r="L108" s="14" t="n">
        <v>0.1</v>
      </c>
      <c r="M108" s="10" t="inlineStr">
        <is>
          <t>صغير</t>
        </is>
      </c>
      <c r="N108" s="11" t="inlineStr">
        <is>
          <t>طوال السنة</t>
        </is>
      </c>
      <c r="O108" s="11" t="inlineStr">
        <is>
          <t>لا</t>
        </is>
      </c>
      <c r="P108" s="15" t="n">
        <v>0.2</v>
      </c>
      <c r="Q108" s="14" t="n">
        <v>6</v>
      </c>
      <c r="R108" s="14" t="n">
        <v>50</v>
      </c>
      <c r="S108" s="16">
        <f>J108*'الافتراضات'!$B$2*(1+'الافتراضات'!$B$3)</f>
        <v/>
      </c>
      <c r="T108" s="16">
        <f>L108*'الافتراضات'!$B$4</f>
        <v/>
      </c>
      <c r="U108" s="16">
        <f>(S108+T108)*'الافتراضات'!$B$5</f>
        <v/>
      </c>
      <c r="V108" s="16">
        <f>S108+T108+U108</f>
        <v/>
      </c>
      <c r="W108" s="16">
        <f>MAX(1,E108*P108)</f>
        <v/>
      </c>
      <c r="X108" s="16">
        <f>E108*'الافتراضات'!$B$7</f>
        <v/>
      </c>
      <c r="Y108" s="16">
        <f>E108*'الافتراضات'!$B$8</f>
        <v/>
      </c>
      <c r="Z108" s="16">
        <f>E108/(1+'الافتراضات'!$B$6)</f>
        <v/>
      </c>
      <c r="AA108" s="16">
        <f>Z108-V108-W108-Q108-X108-Y108</f>
        <v/>
      </c>
      <c r="AB108" s="17">
        <f>IF(Z108=0,0,AA108/Z108)</f>
        <v/>
      </c>
      <c r="AC108" s="17">
        <f>IF(V108=0,0,AA108/V108)</f>
        <v/>
      </c>
      <c r="AD108" s="18">
        <f>R108*V108</f>
        <v/>
      </c>
      <c r="AE108" s="16">
        <f>IF(AB108&gt;='الافتراضات'!$B$9,IF(O108="لا","ابدأ به","جيد – يحتاج شهادة"),IF(AB108&gt;='الافتراضات'!$B$10,"مقبول","ضعيف"))</f>
        <v/>
      </c>
      <c r="AF108" s="16">
        <f>IF((1-'الافتراضات'!$B$9)/(1+'الافتراضات'!$B$6)-P108-'الافتراضات'!$B$7-'الافتراضات'!$B$8&lt;=0,0,(V108+Q108)/((1-'الافتراضات'!$B$9)/(1+'الافتراضات'!$B$6)-P108-'الافتراضات'!$B$7-'الافتراضات'!$B$8))</f>
        <v/>
      </c>
    </row>
    <row r="109">
      <c r="A109" s="10" t="n">
        <v>108</v>
      </c>
      <c r="B109" s="11" t="inlineStr">
        <is>
          <t>إكسسوارات الجوال والإلكترونيات</t>
        </is>
      </c>
      <c r="C109" s="11" t="inlineStr">
        <is>
          <t>سماعات عظمية للرياضة</t>
        </is>
      </c>
      <c r="D109" s="11" t="inlineStr">
        <is>
          <t>bone conduction headphones</t>
        </is>
      </c>
      <c r="E109" s="12" t="n">
        <v>158</v>
      </c>
      <c r="F109" s="10" t="inlineStr">
        <is>
          <t>تقدير</t>
        </is>
      </c>
      <c r="G109" s="10" t="inlineStr">
        <is>
          <t>تقدير</t>
        </is>
      </c>
      <c r="H109" s="10" t="inlineStr">
        <is>
          <t>لم تُفحص</t>
        </is>
      </c>
      <c r="I109" s="10" t="inlineStr">
        <is>
          <t>لم يُفحص</t>
        </is>
      </c>
      <c r="J109" s="13" t="n">
        <v>14</v>
      </c>
      <c r="K109" s="11" t="inlineStr">
        <is>
          <t>تقدير</t>
        </is>
      </c>
      <c r="L109" s="14" t="n">
        <v>0.2</v>
      </c>
      <c r="M109" s="10" t="inlineStr">
        <is>
          <t>صغير</t>
        </is>
      </c>
      <c r="N109" s="11" t="inlineStr">
        <is>
          <t>طوال السنة</t>
        </is>
      </c>
      <c r="O109" s="11" t="inlineStr">
        <is>
          <t>SABER + بطارية ليثيوم</t>
        </is>
      </c>
      <c r="P109" s="15" t="n">
        <v>0.2</v>
      </c>
      <c r="Q109" s="14" t="n">
        <v>9</v>
      </c>
      <c r="R109" s="14" t="n">
        <v>50</v>
      </c>
      <c r="S109" s="16">
        <f>J109*'الافتراضات'!$B$2*(1+'الافتراضات'!$B$3)</f>
        <v/>
      </c>
      <c r="T109" s="16">
        <f>L109*'الافتراضات'!$B$4</f>
        <v/>
      </c>
      <c r="U109" s="16">
        <f>(S109+T109)*'الافتراضات'!$B$5</f>
        <v/>
      </c>
      <c r="V109" s="16">
        <f>S109+T109+U109</f>
        <v/>
      </c>
      <c r="W109" s="16">
        <f>MAX(1,E109*P109)</f>
        <v/>
      </c>
      <c r="X109" s="16">
        <f>E109*'الافتراضات'!$B$7</f>
        <v/>
      </c>
      <c r="Y109" s="16">
        <f>E109*'الافتراضات'!$B$8</f>
        <v/>
      </c>
      <c r="Z109" s="16">
        <f>E109/(1+'الافتراضات'!$B$6)</f>
        <v/>
      </c>
      <c r="AA109" s="16">
        <f>Z109-V109-W109-Q109-X109-Y109</f>
        <v/>
      </c>
      <c r="AB109" s="17">
        <f>IF(Z109=0,0,AA109/Z109)</f>
        <v/>
      </c>
      <c r="AC109" s="17">
        <f>IF(V109=0,0,AA109/V109)</f>
        <v/>
      </c>
      <c r="AD109" s="18">
        <f>R109*V109</f>
        <v/>
      </c>
      <c r="AE109" s="16">
        <f>IF(AB109&gt;='الافتراضات'!$B$9,IF(O109="لا","ابدأ به","جيد – يحتاج شهادة"),IF(AB109&gt;='الافتراضات'!$B$10,"مقبول","ضعيف"))</f>
        <v/>
      </c>
      <c r="AF109" s="16">
        <f>IF((1-'الافتراضات'!$B$9)/(1+'الافتراضات'!$B$6)-P109-'الافتراضات'!$B$7-'الافتراضات'!$B$8&lt;=0,0,(V109+Q109)/((1-'الافتراضات'!$B$9)/(1+'الافتراضات'!$B$6)-P109-'الافتراضات'!$B$7-'الافتراضات'!$B$8))</f>
        <v/>
      </c>
    </row>
    <row r="110">
      <c r="A110" s="10" t="n">
        <v>109</v>
      </c>
      <c r="B110" s="11" t="inlineStr">
        <is>
          <t>الأطفال والألعاب</t>
        </is>
      </c>
      <c r="C110" s="11" t="inlineStr">
        <is>
          <t>مكعب روبيك سرعة</t>
        </is>
      </c>
      <c r="D110" s="11" t="inlineStr">
        <is>
          <t>speed cube puzzle</t>
        </is>
      </c>
      <c r="E110" s="12" t="n">
        <v>25</v>
      </c>
      <c r="F110" s="10" t="inlineStr">
        <is>
          <t>تقدير</t>
        </is>
      </c>
      <c r="G110" s="10" t="inlineStr">
        <is>
          <t>تقدير</t>
        </is>
      </c>
      <c r="H110" s="10" t="inlineStr">
        <is>
          <t>لم تُفحص</t>
        </is>
      </c>
      <c r="I110" s="10" t="inlineStr">
        <is>
          <t>لم يُفحص</t>
        </is>
      </c>
      <c r="J110" s="13" t="n">
        <v>1.4</v>
      </c>
      <c r="K110" s="11" t="inlineStr">
        <is>
          <t>تقدير</t>
        </is>
      </c>
      <c r="L110" s="14" t="n">
        <v>0.08</v>
      </c>
      <c r="M110" s="10" t="inlineStr">
        <is>
          <t>صغير</t>
        </is>
      </c>
      <c r="N110" s="11" t="inlineStr">
        <is>
          <t>طوال السنة</t>
        </is>
      </c>
      <c r="O110" s="11" t="inlineStr">
        <is>
          <t>اشتراطات سلامة الألعاب</t>
        </is>
      </c>
      <c r="P110" s="15" t="n">
        <v>0.14</v>
      </c>
      <c r="Q110" s="14" t="n">
        <v>6</v>
      </c>
      <c r="R110" s="14" t="n">
        <v>50</v>
      </c>
      <c r="S110" s="16">
        <f>J110*'الافتراضات'!$B$2*(1+'الافتراضات'!$B$3)</f>
        <v/>
      </c>
      <c r="T110" s="16">
        <f>L110*'الافتراضات'!$B$4</f>
        <v/>
      </c>
      <c r="U110" s="16">
        <f>(S110+T110)*'الافتراضات'!$B$5</f>
        <v/>
      </c>
      <c r="V110" s="16">
        <f>S110+T110+U110</f>
        <v/>
      </c>
      <c r="W110" s="16">
        <f>MAX(1,E110*P110)</f>
        <v/>
      </c>
      <c r="X110" s="16">
        <f>E110*'الافتراضات'!$B$7</f>
        <v/>
      </c>
      <c r="Y110" s="16">
        <f>E110*'الافتراضات'!$B$8</f>
        <v/>
      </c>
      <c r="Z110" s="16">
        <f>E110/(1+'الافتراضات'!$B$6)</f>
        <v/>
      </c>
      <c r="AA110" s="16">
        <f>Z110-V110-W110-Q110-X110-Y110</f>
        <v/>
      </c>
      <c r="AB110" s="17">
        <f>IF(Z110=0,0,AA110/Z110)</f>
        <v/>
      </c>
      <c r="AC110" s="17">
        <f>IF(V110=0,0,AA110/V110)</f>
        <v/>
      </c>
      <c r="AD110" s="18">
        <f>R110*V110</f>
        <v/>
      </c>
      <c r="AE110" s="16">
        <f>IF(AB110&gt;='الافتراضات'!$B$9,IF(O110="لا","ابدأ به","جيد – يحتاج شهادة"),IF(AB110&gt;='الافتراضات'!$B$10,"مقبول","ضعيف"))</f>
        <v/>
      </c>
      <c r="AF110" s="16">
        <f>IF((1-'الافتراضات'!$B$9)/(1+'الافتراضات'!$B$6)-P110-'الافتراضات'!$B$7-'الافتراضات'!$B$8&lt;=0,0,(V110+Q110)/((1-'الافتراضات'!$B$9)/(1+'الافتراضات'!$B$6)-P110-'الافتراضات'!$B$7-'الافتراضات'!$B$8))</f>
        <v/>
      </c>
    </row>
    <row r="111">
      <c r="A111" s="10" t="n">
        <v>110</v>
      </c>
      <c r="B111" s="11" t="inlineStr">
        <is>
          <t>إكسسوارات الجوال والإلكترونيات</t>
        </is>
      </c>
      <c r="C111" s="11" t="inlineStr">
        <is>
          <t>مكبر صوت للتلفزيون بلوتوث</t>
        </is>
      </c>
      <c r="D111" s="11" t="inlineStr">
        <is>
          <t>bluetooth audio transmitter receiver</t>
        </is>
      </c>
      <c r="E111" s="12" t="n">
        <v>51</v>
      </c>
      <c r="F111" s="10" t="inlineStr">
        <is>
          <t>تقدير</t>
        </is>
      </c>
      <c r="G111" s="10" t="inlineStr">
        <is>
          <t>تقدير</t>
        </is>
      </c>
      <c r="H111" s="10" t="inlineStr">
        <is>
          <t>لم تُفحص</t>
        </is>
      </c>
      <c r="I111" s="10" t="inlineStr">
        <is>
          <t>لم يُفحص</t>
        </is>
      </c>
      <c r="J111" s="13" t="n">
        <v>4.5</v>
      </c>
      <c r="K111" s="11" t="inlineStr">
        <is>
          <t>تقدير</t>
        </is>
      </c>
      <c r="L111" s="14" t="n">
        <v>0.08</v>
      </c>
      <c r="M111" s="10" t="inlineStr">
        <is>
          <t>صغير</t>
        </is>
      </c>
      <c r="N111" s="11" t="inlineStr">
        <is>
          <t>طوال السنة</t>
        </is>
      </c>
      <c r="O111" s="11" t="inlineStr">
        <is>
          <t>SABER + بطارية ليثيوم</t>
        </is>
      </c>
      <c r="P111" s="15" t="n">
        <v>0.1</v>
      </c>
      <c r="Q111" s="14" t="n">
        <v>8</v>
      </c>
      <c r="R111" s="14" t="n">
        <v>50</v>
      </c>
      <c r="S111" s="16">
        <f>J111*'الافتراضات'!$B$2*(1+'الافتراضات'!$B$3)</f>
        <v/>
      </c>
      <c r="T111" s="16">
        <f>L111*'الافتراضات'!$B$4</f>
        <v/>
      </c>
      <c r="U111" s="16">
        <f>(S111+T111)*'الافتراضات'!$B$5</f>
        <v/>
      </c>
      <c r="V111" s="16">
        <f>S111+T111+U111</f>
        <v/>
      </c>
      <c r="W111" s="16">
        <f>MAX(1,E111*P111)</f>
        <v/>
      </c>
      <c r="X111" s="16">
        <f>E111*'الافتراضات'!$B$7</f>
        <v/>
      </c>
      <c r="Y111" s="16">
        <f>E111*'الافتراضات'!$B$8</f>
        <v/>
      </c>
      <c r="Z111" s="16">
        <f>E111/(1+'الافتراضات'!$B$6)</f>
        <v/>
      </c>
      <c r="AA111" s="16">
        <f>Z111-V111-W111-Q111-X111-Y111</f>
        <v/>
      </c>
      <c r="AB111" s="17">
        <f>IF(Z111=0,0,AA111/Z111)</f>
        <v/>
      </c>
      <c r="AC111" s="17">
        <f>IF(V111=0,0,AA111/V111)</f>
        <v/>
      </c>
      <c r="AD111" s="18">
        <f>R111*V111</f>
        <v/>
      </c>
      <c r="AE111" s="16">
        <f>IF(AB111&gt;='الافتراضات'!$B$9,IF(O111="لا","ابدأ به","جيد – يحتاج شهادة"),IF(AB111&gt;='الافتراضات'!$B$10,"مقبول","ضعيف"))</f>
        <v/>
      </c>
      <c r="AF111" s="16">
        <f>IF((1-'الافتراضات'!$B$9)/(1+'الافتراضات'!$B$6)-P111-'الافتراضات'!$B$7-'الافتراضات'!$B$8&lt;=0,0,(V111+Q111)/((1-'الافتراضات'!$B$9)/(1+'الافتراضات'!$B$6)-P111-'الافتراضات'!$B$7-'الافتراضات'!$B$8))</f>
        <v/>
      </c>
    </row>
    <row r="112">
      <c r="A112" s="10" t="n">
        <v>111</v>
      </c>
      <c r="B112" s="11" t="inlineStr">
        <is>
          <t>إكسسوارات الجوال والإلكترونيات</t>
        </is>
      </c>
      <c r="C112" s="11" t="inlineStr">
        <is>
          <t>كاميرا مراقبة منزلية واي فاي داخلية</t>
        </is>
      </c>
      <c r="D112" s="11" t="inlineStr">
        <is>
          <t>indoor wifi security camera</t>
        </is>
      </c>
      <c r="E112" s="12" t="n">
        <v>85</v>
      </c>
      <c r="F112" s="10" t="inlineStr">
        <is>
          <t>تقدير</t>
        </is>
      </c>
      <c r="G112" s="10" t="inlineStr">
        <is>
          <t>تقدير</t>
        </is>
      </c>
      <c r="H112" s="10" t="inlineStr">
        <is>
          <t>لم تُفحص</t>
        </is>
      </c>
      <c r="I112" s="10" t="inlineStr">
        <is>
          <t>لم يُفحص</t>
        </is>
      </c>
      <c r="J112" s="13" t="n">
        <v>7.5</v>
      </c>
      <c r="K112" s="11" t="inlineStr">
        <is>
          <t>تقدير</t>
        </is>
      </c>
      <c r="L112" s="14" t="n">
        <v>0.25</v>
      </c>
      <c r="M112" s="10" t="inlineStr">
        <is>
          <t>صغير</t>
        </is>
      </c>
      <c r="N112" s="11" t="inlineStr">
        <is>
          <t>طوال السنة</t>
        </is>
      </c>
      <c r="O112" s="11" t="inlineStr">
        <is>
          <t>SABER + بطارية ليثيوم</t>
        </is>
      </c>
      <c r="P112" s="15" t="n">
        <v>0.14</v>
      </c>
      <c r="Q112" s="14" t="n">
        <v>9</v>
      </c>
      <c r="R112" s="14" t="n">
        <v>50</v>
      </c>
      <c r="S112" s="16">
        <f>J112*'الافتراضات'!$B$2*(1+'الافتراضات'!$B$3)</f>
        <v/>
      </c>
      <c r="T112" s="16">
        <f>L112*'الافتراضات'!$B$4</f>
        <v/>
      </c>
      <c r="U112" s="16">
        <f>(S112+T112)*'الافتراضات'!$B$5</f>
        <v/>
      </c>
      <c r="V112" s="16">
        <f>S112+T112+U112</f>
        <v/>
      </c>
      <c r="W112" s="16">
        <f>MAX(1,E112*P112)</f>
        <v/>
      </c>
      <c r="X112" s="16">
        <f>E112*'الافتراضات'!$B$7</f>
        <v/>
      </c>
      <c r="Y112" s="16">
        <f>E112*'الافتراضات'!$B$8</f>
        <v/>
      </c>
      <c r="Z112" s="16">
        <f>E112/(1+'الافتراضات'!$B$6)</f>
        <v/>
      </c>
      <c r="AA112" s="16">
        <f>Z112-V112-W112-Q112-X112-Y112</f>
        <v/>
      </c>
      <c r="AB112" s="17">
        <f>IF(Z112=0,0,AA112/Z112)</f>
        <v/>
      </c>
      <c r="AC112" s="17">
        <f>IF(V112=0,0,AA112/V112)</f>
        <v/>
      </c>
      <c r="AD112" s="18">
        <f>R112*V112</f>
        <v/>
      </c>
      <c r="AE112" s="16">
        <f>IF(AB112&gt;='الافتراضات'!$B$9,IF(O112="لا","ابدأ به","جيد – يحتاج شهادة"),IF(AB112&gt;='الافتراضات'!$B$10,"مقبول","ضعيف"))</f>
        <v/>
      </c>
      <c r="AF112" s="16">
        <f>IF((1-'الافتراضات'!$B$9)/(1+'الافتراضات'!$B$6)-P112-'الافتراضات'!$B$7-'الافتراضات'!$B$8&lt;=0,0,(V112+Q112)/((1-'الافتراضات'!$B$9)/(1+'الافتراضات'!$B$6)-P112-'الافتراضات'!$B$7-'الافتراضات'!$B$8))</f>
        <v/>
      </c>
    </row>
    <row r="113">
      <c r="A113" s="10" t="n">
        <v>112</v>
      </c>
      <c r="B113" s="11" t="inlineStr">
        <is>
          <t>إكسسوارات الجوال والإلكترونيات</t>
        </is>
      </c>
      <c r="C113" s="11" t="inlineStr">
        <is>
          <t>جهاز قياس الضغط المنزلي</t>
        </is>
      </c>
      <c r="D113" s="11" t="inlineStr">
        <is>
          <t>upper arm blood pressure monitor</t>
        </is>
      </c>
      <c r="E113" s="12" t="n">
        <v>113</v>
      </c>
      <c r="F113" s="10" t="inlineStr">
        <is>
          <t>تقدير</t>
        </is>
      </c>
      <c r="G113" s="10" t="inlineStr">
        <is>
          <t>تقدير</t>
        </is>
      </c>
      <c r="H113" s="10" t="inlineStr">
        <is>
          <t>لم تُفحص</t>
        </is>
      </c>
      <c r="I113" s="10" t="inlineStr">
        <is>
          <t>لم يُفحص</t>
        </is>
      </c>
      <c r="J113" s="13" t="n">
        <v>10</v>
      </c>
      <c r="K113" s="11" t="inlineStr">
        <is>
          <t>تقدير</t>
        </is>
      </c>
      <c r="L113" s="14" t="n">
        <v>0.7</v>
      </c>
      <c r="M113" s="10" t="inlineStr">
        <is>
          <t>متوسط</t>
        </is>
      </c>
      <c r="N113" s="11" t="inlineStr">
        <is>
          <t>طوال السنة</t>
        </is>
      </c>
      <c r="O113" s="11" t="inlineStr">
        <is>
          <t>تحقق من اللوائح</t>
        </is>
      </c>
      <c r="P113" s="15" t="n">
        <v>0.13</v>
      </c>
      <c r="Q113" s="14" t="n">
        <v>10</v>
      </c>
      <c r="R113" s="14" t="n">
        <v>50</v>
      </c>
      <c r="S113" s="16">
        <f>J113*'الافتراضات'!$B$2*(1+'الافتراضات'!$B$3)</f>
        <v/>
      </c>
      <c r="T113" s="16">
        <f>L113*'الافتراضات'!$B$4</f>
        <v/>
      </c>
      <c r="U113" s="16">
        <f>(S113+T113)*'الافتراضات'!$B$5</f>
        <v/>
      </c>
      <c r="V113" s="16">
        <f>S113+T113+U113</f>
        <v/>
      </c>
      <c r="W113" s="16">
        <f>MAX(1,E113*P113)</f>
        <v/>
      </c>
      <c r="X113" s="16">
        <f>E113*'الافتراضات'!$B$7</f>
        <v/>
      </c>
      <c r="Y113" s="16">
        <f>E113*'الافتراضات'!$B$8</f>
        <v/>
      </c>
      <c r="Z113" s="16">
        <f>E113/(1+'الافتراضات'!$B$6)</f>
        <v/>
      </c>
      <c r="AA113" s="16">
        <f>Z113-V113-W113-Q113-X113-Y113</f>
        <v/>
      </c>
      <c r="AB113" s="17">
        <f>IF(Z113=0,0,AA113/Z113)</f>
        <v/>
      </c>
      <c r="AC113" s="17">
        <f>IF(V113=0,0,AA113/V113)</f>
        <v/>
      </c>
      <c r="AD113" s="18">
        <f>R113*V113</f>
        <v/>
      </c>
      <c r="AE113" s="16">
        <f>IF(AB113&gt;='الافتراضات'!$B$9,IF(O113="لا","ابدأ به","جيد – يحتاج شهادة"),IF(AB113&gt;='الافتراضات'!$B$10,"مقبول","ضعيف"))</f>
        <v/>
      </c>
      <c r="AF113" s="16">
        <f>IF((1-'الافتراضات'!$B$9)/(1+'الافتراضات'!$B$6)-P113-'الافتراضات'!$B$7-'الافتراضات'!$B$8&lt;=0,0,(V113+Q113)/((1-'الافتراضات'!$B$9)/(1+'الافتراضات'!$B$6)-P113-'الافتراضات'!$B$7-'الافتراضات'!$B$8))</f>
        <v/>
      </c>
    </row>
    <row r="114">
      <c r="A114" s="10" t="n">
        <v>113</v>
      </c>
      <c r="B114" s="11" t="inlineStr">
        <is>
          <t>المكتب والدراسة</t>
        </is>
      </c>
      <c r="C114" s="11" t="inlineStr">
        <is>
          <t>ماكينة تغليف حراري A4</t>
        </is>
      </c>
      <c r="D114" s="11" t="inlineStr">
        <is>
          <t>thermal laminator A4</t>
        </is>
      </c>
      <c r="E114" s="12" t="n">
        <v>158</v>
      </c>
      <c r="F114" s="10" t="inlineStr">
        <is>
          <t>تقدير</t>
        </is>
      </c>
      <c r="G114" s="10" t="inlineStr">
        <is>
          <t>تقدير</t>
        </is>
      </c>
      <c r="H114" s="10" t="inlineStr">
        <is>
          <t>لم تُفحص</t>
        </is>
      </c>
      <c r="I114" s="10" t="inlineStr">
        <is>
          <t>لم يُفحص</t>
        </is>
      </c>
      <c r="J114" s="13" t="n">
        <v>14</v>
      </c>
      <c r="K114" s="11" t="inlineStr">
        <is>
          <t>تقدير</t>
        </is>
      </c>
      <c r="L114" s="14" t="n">
        <v>1.5</v>
      </c>
      <c r="M114" s="10" t="inlineStr">
        <is>
          <t>متوسط</t>
        </is>
      </c>
      <c r="N114" s="11" t="inlineStr">
        <is>
          <t>طوال السنة</t>
        </is>
      </c>
      <c r="O114" s="11" t="inlineStr">
        <is>
          <t>SABER</t>
        </is>
      </c>
      <c r="P114" s="15" t="n">
        <v>0.12</v>
      </c>
      <c r="Q114" s="14" t="n">
        <v>11.5</v>
      </c>
      <c r="R114" s="14" t="n">
        <v>50</v>
      </c>
      <c r="S114" s="16">
        <f>J114*'الافتراضات'!$B$2*(1+'الافتراضات'!$B$3)</f>
        <v/>
      </c>
      <c r="T114" s="16">
        <f>L114*'الافتراضات'!$B$4</f>
        <v/>
      </c>
      <c r="U114" s="16">
        <f>(S114+T114)*'الافتراضات'!$B$5</f>
        <v/>
      </c>
      <c r="V114" s="16">
        <f>S114+T114+U114</f>
        <v/>
      </c>
      <c r="W114" s="16">
        <f>MAX(1,E114*P114)</f>
        <v/>
      </c>
      <c r="X114" s="16">
        <f>E114*'الافتراضات'!$B$7</f>
        <v/>
      </c>
      <c r="Y114" s="16">
        <f>E114*'الافتراضات'!$B$8</f>
        <v/>
      </c>
      <c r="Z114" s="16">
        <f>E114/(1+'الافتراضات'!$B$6)</f>
        <v/>
      </c>
      <c r="AA114" s="16">
        <f>Z114-V114-W114-Q114-X114-Y114</f>
        <v/>
      </c>
      <c r="AB114" s="17">
        <f>IF(Z114=0,0,AA114/Z114)</f>
        <v/>
      </c>
      <c r="AC114" s="17">
        <f>IF(V114=0,0,AA114/V114)</f>
        <v/>
      </c>
      <c r="AD114" s="18">
        <f>R114*V114</f>
        <v/>
      </c>
      <c r="AE114" s="16">
        <f>IF(AB114&gt;='الافتراضات'!$B$9,IF(O114="لا","ابدأ به","جيد – يحتاج شهادة"),IF(AB114&gt;='الافتراضات'!$B$10,"مقبول","ضعيف"))</f>
        <v/>
      </c>
      <c r="AF114" s="16">
        <f>IF((1-'الافتراضات'!$B$9)/(1+'الافتراضات'!$B$6)-P114-'الافتراضات'!$B$7-'الافتراضات'!$B$8&lt;=0,0,(V114+Q114)/((1-'الافتراضات'!$B$9)/(1+'الافتراضات'!$B$6)-P114-'الافتراضات'!$B$7-'الافتراضات'!$B$8))</f>
        <v/>
      </c>
    </row>
    <row r="115">
      <c r="A115" s="10" t="n">
        <v>114</v>
      </c>
      <c r="B115" s="11" t="inlineStr">
        <is>
          <t>السيارات والدراجات</t>
        </is>
      </c>
      <c r="C115" s="11" t="inlineStr">
        <is>
          <t>خوذة دراجة للكبار</t>
        </is>
      </c>
      <c r="D115" s="11" t="inlineStr">
        <is>
          <t>adult bike helmet</t>
        </is>
      </c>
      <c r="E115" s="12" t="n">
        <v>79</v>
      </c>
      <c r="F115" s="10" t="inlineStr">
        <is>
          <t>تقدير</t>
        </is>
      </c>
      <c r="G115" s="10" t="inlineStr">
        <is>
          <t>تقدير</t>
        </is>
      </c>
      <c r="H115" s="10" t="inlineStr">
        <is>
          <t>لم تُفحص</t>
        </is>
      </c>
      <c r="I115" s="10" t="inlineStr">
        <is>
          <t>لم يُفحص</t>
        </is>
      </c>
      <c r="J115" s="13" t="n">
        <v>7</v>
      </c>
      <c r="K115" s="11" t="inlineStr">
        <is>
          <t>تقدير</t>
        </is>
      </c>
      <c r="L115" s="14" t="n">
        <v>0.5</v>
      </c>
      <c r="M115" s="10" t="inlineStr">
        <is>
          <t>متوسط</t>
        </is>
      </c>
      <c r="N115" s="11" t="inlineStr">
        <is>
          <t>طوال السنة</t>
        </is>
      </c>
      <c r="O115" s="11" t="inlineStr">
        <is>
          <t>تحقق من اللوائح</t>
        </is>
      </c>
      <c r="P115" s="15" t="n">
        <v>0.1</v>
      </c>
      <c r="Q115" s="14" t="n">
        <v>9.5</v>
      </c>
      <c r="R115" s="14" t="n">
        <v>50</v>
      </c>
      <c r="S115" s="16">
        <f>J115*'الافتراضات'!$B$2*(1+'الافتراضات'!$B$3)</f>
        <v/>
      </c>
      <c r="T115" s="16">
        <f>L115*'الافتراضات'!$B$4</f>
        <v/>
      </c>
      <c r="U115" s="16">
        <f>(S115+T115)*'الافتراضات'!$B$5</f>
        <v/>
      </c>
      <c r="V115" s="16">
        <f>S115+T115+U115</f>
        <v/>
      </c>
      <c r="W115" s="16">
        <f>MAX(1,E115*P115)</f>
        <v/>
      </c>
      <c r="X115" s="16">
        <f>E115*'الافتراضات'!$B$7</f>
        <v/>
      </c>
      <c r="Y115" s="16">
        <f>E115*'الافتراضات'!$B$8</f>
        <v/>
      </c>
      <c r="Z115" s="16">
        <f>E115/(1+'الافتراضات'!$B$6)</f>
        <v/>
      </c>
      <c r="AA115" s="16">
        <f>Z115-V115-W115-Q115-X115-Y115</f>
        <v/>
      </c>
      <c r="AB115" s="17">
        <f>IF(Z115=0,0,AA115/Z115)</f>
        <v/>
      </c>
      <c r="AC115" s="17">
        <f>IF(V115=0,0,AA115/V115)</f>
        <v/>
      </c>
      <c r="AD115" s="18">
        <f>R115*V115</f>
        <v/>
      </c>
      <c r="AE115" s="16">
        <f>IF(AB115&gt;='الافتراضات'!$B$9,IF(O115="لا","ابدأ به","جيد – يحتاج شهادة"),IF(AB115&gt;='الافتراضات'!$B$10,"مقبول","ضعيف"))</f>
        <v/>
      </c>
      <c r="AF115" s="16">
        <f>IF((1-'الافتراضات'!$B$9)/(1+'الافتراضات'!$B$6)-P115-'الافتراضات'!$B$7-'الافتراضات'!$B$8&lt;=0,0,(V115+Q115)/((1-'الافتراضات'!$B$9)/(1+'الافتراضات'!$B$6)-P115-'الافتراضات'!$B$7-'الافتراضات'!$B$8))</f>
        <v/>
      </c>
    </row>
    <row r="116">
      <c r="A116" s="10" t="n">
        <v>115</v>
      </c>
      <c r="B116" s="11" t="inlineStr">
        <is>
          <t>الحيوانات الأليفة</t>
        </is>
      </c>
      <c r="C116" s="11" t="inlineStr">
        <is>
          <t>مجرفة رمل قطط</t>
        </is>
      </c>
      <c r="D116" s="11" t="inlineStr">
        <is>
          <t>cat litter scoop</t>
        </is>
      </c>
      <c r="E116" s="12" t="n">
        <v>25</v>
      </c>
      <c r="F116" s="10" t="inlineStr">
        <is>
          <t>تقدير</t>
        </is>
      </c>
      <c r="G116" s="10" t="inlineStr">
        <is>
          <t>تقدير</t>
        </is>
      </c>
      <c r="H116" s="10" t="inlineStr">
        <is>
          <t>لم تُفحص</t>
        </is>
      </c>
      <c r="I116" s="10" t="inlineStr">
        <is>
          <t>لم يُفحص</t>
        </is>
      </c>
      <c r="J116" s="13" t="n">
        <v>1</v>
      </c>
      <c r="K116" s="11" t="inlineStr">
        <is>
          <t>تقدير</t>
        </is>
      </c>
      <c r="L116" s="14" t="n">
        <v>0.15</v>
      </c>
      <c r="M116" s="10" t="inlineStr">
        <is>
          <t>صغير</t>
        </is>
      </c>
      <c r="N116" s="11" t="inlineStr">
        <is>
          <t>طوال السنة</t>
        </is>
      </c>
      <c r="O116" s="11" t="inlineStr">
        <is>
          <t>لا</t>
        </is>
      </c>
      <c r="P116" s="15" t="n">
        <v>0.15</v>
      </c>
      <c r="Q116" s="14" t="n">
        <v>7</v>
      </c>
      <c r="R116" s="14" t="n">
        <v>50</v>
      </c>
      <c r="S116" s="16">
        <f>J116*'الافتراضات'!$B$2*(1+'الافتراضات'!$B$3)</f>
        <v/>
      </c>
      <c r="T116" s="16">
        <f>L116*'الافتراضات'!$B$4</f>
        <v/>
      </c>
      <c r="U116" s="16">
        <f>(S116+T116)*'الافتراضات'!$B$5</f>
        <v/>
      </c>
      <c r="V116" s="16">
        <f>S116+T116+U116</f>
        <v/>
      </c>
      <c r="W116" s="16">
        <f>MAX(1,E116*P116)</f>
        <v/>
      </c>
      <c r="X116" s="16">
        <f>E116*'الافتراضات'!$B$7</f>
        <v/>
      </c>
      <c r="Y116" s="16">
        <f>E116*'الافتراضات'!$B$8</f>
        <v/>
      </c>
      <c r="Z116" s="16">
        <f>E116/(1+'الافتراضات'!$B$6)</f>
        <v/>
      </c>
      <c r="AA116" s="16">
        <f>Z116-V116-W116-Q116-X116-Y116</f>
        <v/>
      </c>
      <c r="AB116" s="17">
        <f>IF(Z116=0,0,AA116/Z116)</f>
        <v/>
      </c>
      <c r="AC116" s="17">
        <f>IF(V116=0,0,AA116/V116)</f>
        <v/>
      </c>
      <c r="AD116" s="18">
        <f>R116*V116</f>
        <v/>
      </c>
      <c r="AE116" s="16">
        <f>IF(AB116&gt;='الافتراضات'!$B$9,IF(O116="لا","ابدأ به","جيد – يحتاج شهادة"),IF(AB116&gt;='الافتراضات'!$B$10,"مقبول","ضعيف"))</f>
        <v/>
      </c>
      <c r="AF116" s="16">
        <f>IF((1-'الافتراضات'!$B$9)/(1+'الافتراضات'!$B$6)-P116-'الافتراضات'!$B$7-'الافتراضات'!$B$8&lt;=0,0,(V116+Q116)/((1-'الافتراضات'!$B$9)/(1+'الافتراضات'!$B$6)-P116-'الافتراضات'!$B$7-'الافتراضات'!$B$8))</f>
        <v/>
      </c>
    </row>
    <row r="117">
      <c r="A117" s="10" t="n">
        <v>116</v>
      </c>
      <c r="B117" s="11" t="inlineStr">
        <is>
          <t>الحيوانات الأليفة</t>
        </is>
      </c>
      <c r="C117" s="11" t="inlineStr">
        <is>
          <t>لعبة ليزر للقطط</t>
        </is>
      </c>
      <c r="D117" s="11" t="inlineStr">
        <is>
          <t>cat laser toy</t>
        </is>
      </c>
      <c r="E117" s="12" t="n">
        <v>25</v>
      </c>
      <c r="F117" s="10" t="inlineStr">
        <is>
          <t>تقدير</t>
        </is>
      </c>
      <c r="G117" s="10" t="inlineStr">
        <is>
          <t>تقدير</t>
        </is>
      </c>
      <c r="H117" s="10" t="inlineStr">
        <is>
          <t>لم تُفحص</t>
        </is>
      </c>
      <c r="I117" s="10" t="inlineStr">
        <is>
          <t>لم يُفحص</t>
        </is>
      </c>
      <c r="J117" s="13" t="n">
        <v>1.4</v>
      </c>
      <c r="K117" s="11" t="inlineStr">
        <is>
          <t>تقدير</t>
        </is>
      </c>
      <c r="L117" s="14" t="n">
        <v>0.1</v>
      </c>
      <c r="M117" s="10" t="inlineStr">
        <is>
          <t>صغير</t>
        </is>
      </c>
      <c r="N117" s="11" t="inlineStr">
        <is>
          <t>طوال السنة</t>
        </is>
      </c>
      <c r="O117" s="11" t="inlineStr">
        <is>
          <t>SABER + بطارية ليثيوم</t>
        </is>
      </c>
      <c r="P117" s="15" t="n">
        <v>0.14</v>
      </c>
      <c r="Q117" s="14" t="n">
        <v>6</v>
      </c>
      <c r="R117" s="14" t="n">
        <v>50</v>
      </c>
      <c r="S117" s="16">
        <f>J117*'الافتراضات'!$B$2*(1+'الافتراضات'!$B$3)</f>
        <v/>
      </c>
      <c r="T117" s="16">
        <f>L117*'الافتراضات'!$B$4</f>
        <v/>
      </c>
      <c r="U117" s="16">
        <f>(S117+T117)*'الافتراضات'!$B$5</f>
        <v/>
      </c>
      <c r="V117" s="16">
        <f>S117+T117+U117</f>
        <v/>
      </c>
      <c r="W117" s="16">
        <f>MAX(1,E117*P117)</f>
        <v/>
      </c>
      <c r="X117" s="16">
        <f>E117*'الافتراضات'!$B$7</f>
        <v/>
      </c>
      <c r="Y117" s="16">
        <f>E117*'الافتراضات'!$B$8</f>
        <v/>
      </c>
      <c r="Z117" s="16">
        <f>E117/(1+'الافتراضات'!$B$6)</f>
        <v/>
      </c>
      <c r="AA117" s="16">
        <f>Z117-V117-W117-Q117-X117-Y117</f>
        <v/>
      </c>
      <c r="AB117" s="17">
        <f>IF(Z117=0,0,AA117/Z117)</f>
        <v/>
      </c>
      <c r="AC117" s="17">
        <f>IF(V117=0,0,AA117/V117)</f>
        <v/>
      </c>
      <c r="AD117" s="18">
        <f>R117*V117</f>
        <v/>
      </c>
      <c r="AE117" s="16">
        <f>IF(AB117&gt;='الافتراضات'!$B$9,IF(O117="لا","ابدأ به","جيد – يحتاج شهادة"),IF(AB117&gt;='الافتراضات'!$B$10,"مقبول","ضعيف"))</f>
        <v/>
      </c>
      <c r="AF117" s="16">
        <f>IF((1-'الافتراضات'!$B$9)/(1+'الافتراضات'!$B$6)-P117-'الافتراضات'!$B$7-'الافتراضات'!$B$8&lt;=0,0,(V117+Q117)/((1-'الافتراضات'!$B$9)/(1+'الافتراضات'!$B$6)-P117-'الافتراضات'!$B$7-'الافتراضات'!$B$8))</f>
        <v/>
      </c>
    </row>
    <row r="118">
      <c r="A118" s="10" t="n">
        <v>117</v>
      </c>
      <c r="B118" s="11" t="inlineStr">
        <is>
          <t>رمضان والمناسبات</t>
        </is>
      </c>
      <c r="C118" s="11" t="inlineStr">
        <is>
          <t>بوصلة قبلة جيب</t>
        </is>
      </c>
      <c r="D118" s="11" t="inlineStr">
        <is>
          <t>qibla compass pocket</t>
        </is>
      </c>
      <c r="E118" s="12" t="n">
        <v>25</v>
      </c>
      <c r="F118" s="10" t="inlineStr">
        <is>
          <t>تقدير</t>
        </is>
      </c>
      <c r="G118" s="10" t="inlineStr">
        <is>
          <t>تقدير</t>
        </is>
      </c>
      <c r="H118" s="10" t="inlineStr">
        <is>
          <t>لم تُفحص</t>
        </is>
      </c>
      <c r="I118" s="10" t="inlineStr">
        <is>
          <t>لم يُفحص</t>
        </is>
      </c>
      <c r="J118" s="13" t="n">
        <v>1.4</v>
      </c>
      <c r="K118" s="11" t="inlineStr">
        <is>
          <t>تقدير</t>
        </is>
      </c>
      <c r="L118" s="14" t="n">
        <v>0.1</v>
      </c>
      <c r="M118" s="10" t="inlineStr">
        <is>
          <t>صغير</t>
        </is>
      </c>
      <c r="N118" s="11" t="inlineStr">
        <is>
          <t>رمضان والمناسبات</t>
        </is>
      </c>
      <c r="O118" s="11" t="inlineStr">
        <is>
          <t>لا</t>
        </is>
      </c>
      <c r="P118" s="15" t="n">
        <v>0.14</v>
      </c>
      <c r="Q118" s="14" t="n">
        <v>6</v>
      </c>
      <c r="R118" s="14" t="n">
        <v>50</v>
      </c>
      <c r="S118" s="16">
        <f>J118*'الافتراضات'!$B$2*(1+'الافتراضات'!$B$3)</f>
        <v/>
      </c>
      <c r="T118" s="16">
        <f>L118*'الافتراضات'!$B$4</f>
        <v/>
      </c>
      <c r="U118" s="16">
        <f>(S118+T118)*'الافتراضات'!$B$5</f>
        <v/>
      </c>
      <c r="V118" s="16">
        <f>S118+T118+U118</f>
        <v/>
      </c>
      <c r="W118" s="16">
        <f>MAX(1,E118*P118)</f>
        <v/>
      </c>
      <c r="X118" s="16">
        <f>E118*'الافتراضات'!$B$7</f>
        <v/>
      </c>
      <c r="Y118" s="16">
        <f>E118*'الافتراضات'!$B$8</f>
        <v/>
      </c>
      <c r="Z118" s="16">
        <f>E118/(1+'الافتراضات'!$B$6)</f>
        <v/>
      </c>
      <c r="AA118" s="16">
        <f>Z118-V118-W118-Q118-X118-Y118</f>
        <v/>
      </c>
      <c r="AB118" s="17">
        <f>IF(Z118=0,0,AA118/Z118)</f>
        <v/>
      </c>
      <c r="AC118" s="17">
        <f>IF(V118=0,0,AA118/V118)</f>
        <v/>
      </c>
      <c r="AD118" s="18">
        <f>R118*V118</f>
        <v/>
      </c>
      <c r="AE118" s="16">
        <f>IF(AB118&gt;='الافتراضات'!$B$9,IF(O118="لا","ابدأ به","جيد – يحتاج شهادة"),IF(AB118&gt;='الافتراضات'!$B$10,"مقبول","ضعيف"))</f>
        <v/>
      </c>
      <c r="AF118" s="16">
        <f>IF((1-'الافتراضات'!$B$9)/(1+'الافتراضات'!$B$6)-P118-'الافتراضات'!$B$7-'الافتراضات'!$B$8&lt;=0,0,(V118+Q118)/((1-'الافتراضات'!$B$9)/(1+'الافتراضات'!$B$6)-P118-'الافتراضات'!$B$7-'الافتراضات'!$B$8))</f>
        <v/>
      </c>
    </row>
    <row r="119">
      <c r="A119" s="10" t="n">
        <v>118</v>
      </c>
      <c r="B119" s="11" t="inlineStr">
        <is>
          <t>إكسسوارات الجوال والإلكترونيات</t>
        </is>
      </c>
      <c r="C119" s="11" t="inlineStr">
        <is>
          <t>لوح شمسي محمول</t>
        </is>
      </c>
      <c r="D119" s="11" t="inlineStr">
        <is>
          <t>portable solar panel 20W</t>
        </is>
      </c>
      <c r="E119" s="12" t="n">
        <v>158</v>
      </c>
      <c r="F119" s="10" t="inlineStr">
        <is>
          <t>تقدير</t>
        </is>
      </c>
      <c r="G119" s="10" t="inlineStr">
        <is>
          <t>تقدير</t>
        </is>
      </c>
      <c r="H119" s="10" t="inlineStr">
        <is>
          <t>لم تُفحص</t>
        </is>
      </c>
      <c r="I119" s="10" t="inlineStr">
        <is>
          <t>لم يُفحص</t>
        </is>
      </c>
      <c r="J119" s="13" t="n">
        <v>14</v>
      </c>
      <c r="K119" s="11" t="inlineStr">
        <is>
          <t>تقدير</t>
        </is>
      </c>
      <c r="L119" s="14" t="n">
        <v>1.2</v>
      </c>
      <c r="M119" s="10" t="inlineStr">
        <is>
          <t>متوسط</t>
        </is>
      </c>
      <c r="N119" s="11" t="inlineStr">
        <is>
          <t>طوال السنة</t>
        </is>
      </c>
      <c r="O119" s="11" t="inlineStr">
        <is>
          <t>SABER + بطارية ليثيوم</t>
        </is>
      </c>
      <c r="P119" s="15" t="n">
        <v>0.14</v>
      </c>
      <c r="Q119" s="14" t="n">
        <v>11.5</v>
      </c>
      <c r="R119" s="14" t="n">
        <v>50</v>
      </c>
      <c r="S119" s="16">
        <f>J119*'الافتراضات'!$B$2*(1+'الافتراضات'!$B$3)</f>
        <v/>
      </c>
      <c r="T119" s="16">
        <f>L119*'الافتراضات'!$B$4</f>
        <v/>
      </c>
      <c r="U119" s="16">
        <f>(S119+T119)*'الافتراضات'!$B$5</f>
        <v/>
      </c>
      <c r="V119" s="16">
        <f>S119+T119+U119</f>
        <v/>
      </c>
      <c r="W119" s="16">
        <f>MAX(1,E119*P119)</f>
        <v/>
      </c>
      <c r="X119" s="16">
        <f>E119*'الافتراضات'!$B$7</f>
        <v/>
      </c>
      <c r="Y119" s="16">
        <f>E119*'الافتراضات'!$B$8</f>
        <v/>
      </c>
      <c r="Z119" s="16">
        <f>E119/(1+'الافتراضات'!$B$6)</f>
        <v/>
      </c>
      <c r="AA119" s="16">
        <f>Z119-V119-W119-Q119-X119-Y119</f>
        <v/>
      </c>
      <c r="AB119" s="17">
        <f>IF(Z119=0,0,AA119/Z119)</f>
        <v/>
      </c>
      <c r="AC119" s="17">
        <f>IF(V119=0,0,AA119/V119)</f>
        <v/>
      </c>
      <c r="AD119" s="18">
        <f>R119*V119</f>
        <v/>
      </c>
      <c r="AE119" s="16">
        <f>IF(AB119&gt;='الافتراضات'!$B$9,IF(O119="لا","ابدأ به","جيد – يحتاج شهادة"),IF(AB119&gt;='الافتراضات'!$B$10,"مقبول","ضعيف"))</f>
        <v/>
      </c>
      <c r="AF119" s="16">
        <f>IF((1-'الافتراضات'!$B$9)/(1+'الافتراضات'!$B$6)-P119-'الافتراضات'!$B$7-'الافتراضات'!$B$8&lt;=0,0,(V119+Q119)/((1-'الافتراضات'!$B$9)/(1+'الافتراضات'!$B$6)-P119-'الافتراضات'!$B$7-'الافتراضات'!$B$8))</f>
        <v/>
      </c>
    </row>
    <row r="120">
      <c r="A120" s="10" t="n">
        <v>119</v>
      </c>
      <c r="B120" s="11" t="inlineStr">
        <is>
          <t>المكتب والدراسة</t>
        </is>
      </c>
      <c r="C120" s="11" t="inlineStr">
        <is>
          <t>حقيبة وثائق A4</t>
        </is>
      </c>
      <c r="D120" s="11" t="inlineStr">
        <is>
          <t>document bag A4 zipper</t>
        </is>
      </c>
      <c r="E120" s="12" t="n">
        <v>25</v>
      </c>
      <c r="F120" s="10" t="inlineStr">
        <is>
          <t>تقدير</t>
        </is>
      </c>
      <c r="G120" s="10" t="inlineStr">
        <is>
          <t>تقدير</t>
        </is>
      </c>
      <c r="H120" s="10" t="inlineStr">
        <is>
          <t>لم تُفحص</t>
        </is>
      </c>
      <c r="I120" s="10" t="inlineStr">
        <is>
          <t>لم يُفحص</t>
        </is>
      </c>
      <c r="J120" s="13" t="n">
        <v>1.2</v>
      </c>
      <c r="K120" s="11" t="inlineStr">
        <is>
          <t>تقدير</t>
        </is>
      </c>
      <c r="L120" s="14" t="n">
        <v>0.15</v>
      </c>
      <c r="M120" s="10" t="inlineStr">
        <is>
          <t>صغير</t>
        </is>
      </c>
      <c r="N120" s="11" t="inlineStr">
        <is>
          <t>طوال السنة</t>
        </is>
      </c>
      <c r="O120" s="11" t="inlineStr">
        <is>
          <t>لا</t>
        </is>
      </c>
      <c r="P120" s="15" t="n">
        <v>0.12</v>
      </c>
      <c r="Q120" s="14" t="n">
        <v>7</v>
      </c>
      <c r="R120" s="14" t="n">
        <v>50</v>
      </c>
      <c r="S120" s="16">
        <f>J120*'الافتراضات'!$B$2*(1+'الافتراضات'!$B$3)</f>
        <v/>
      </c>
      <c r="T120" s="16">
        <f>L120*'الافتراضات'!$B$4</f>
        <v/>
      </c>
      <c r="U120" s="16">
        <f>(S120+T120)*'الافتراضات'!$B$5</f>
        <v/>
      </c>
      <c r="V120" s="16">
        <f>S120+T120+U120</f>
        <v/>
      </c>
      <c r="W120" s="16">
        <f>MAX(1,E120*P120)</f>
        <v/>
      </c>
      <c r="X120" s="16">
        <f>E120*'الافتراضات'!$B$7</f>
        <v/>
      </c>
      <c r="Y120" s="16">
        <f>E120*'الافتراضات'!$B$8</f>
        <v/>
      </c>
      <c r="Z120" s="16">
        <f>E120/(1+'الافتراضات'!$B$6)</f>
        <v/>
      </c>
      <c r="AA120" s="16">
        <f>Z120-V120-W120-Q120-X120-Y120</f>
        <v/>
      </c>
      <c r="AB120" s="17">
        <f>IF(Z120=0,0,AA120/Z120)</f>
        <v/>
      </c>
      <c r="AC120" s="17">
        <f>IF(V120=0,0,AA120/V120)</f>
        <v/>
      </c>
      <c r="AD120" s="18">
        <f>R120*V120</f>
        <v/>
      </c>
      <c r="AE120" s="16">
        <f>IF(AB120&gt;='الافتراضات'!$B$9,IF(O120="لا","ابدأ به","جيد – يحتاج شهادة"),IF(AB120&gt;='الافتراضات'!$B$10,"مقبول","ضعيف"))</f>
        <v/>
      </c>
      <c r="AF120" s="16">
        <f>IF((1-'الافتراضات'!$B$9)/(1+'الافتراضات'!$B$6)-P120-'الافتراضات'!$B$7-'الافتراضات'!$B$8&lt;=0,0,(V120+Q120)/((1-'الافتراضات'!$B$9)/(1+'الافتراضات'!$B$6)-P120-'الافتراضات'!$B$7-'الافتراضات'!$B$8))</f>
        <v/>
      </c>
    </row>
    <row r="121">
      <c r="A121" s="10" t="n">
        <v>120</v>
      </c>
      <c r="B121" s="11" t="inlineStr">
        <is>
          <t>المنزل والمطبخ</t>
        </is>
      </c>
      <c r="C121" s="11" t="inlineStr">
        <is>
          <t>جهاز تدليك للرقبة</t>
        </is>
      </c>
      <c r="D121" s="11" t="inlineStr">
        <is>
          <t>neck massager electric</t>
        </is>
      </c>
      <c r="E121" s="12" t="n">
        <v>124</v>
      </c>
      <c r="F121" s="10" t="inlineStr">
        <is>
          <t>تقدير</t>
        </is>
      </c>
      <c r="G121" s="10" t="inlineStr">
        <is>
          <t>تقدير</t>
        </is>
      </c>
      <c r="H121" s="10" t="inlineStr">
        <is>
          <t>لم تُفحص</t>
        </is>
      </c>
      <c r="I121" s="10" t="inlineStr">
        <is>
          <t>لم يُفحص</t>
        </is>
      </c>
      <c r="J121" s="13" t="n">
        <v>11</v>
      </c>
      <c r="K121" s="11" t="inlineStr">
        <is>
          <t>تقدير</t>
        </is>
      </c>
      <c r="L121" s="14" t="n">
        <v>0.7</v>
      </c>
      <c r="M121" s="10" t="inlineStr">
        <is>
          <t>متوسط</t>
        </is>
      </c>
      <c r="N121" s="11" t="inlineStr">
        <is>
          <t>طوال السنة</t>
        </is>
      </c>
      <c r="O121" s="11" t="inlineStr">
        <is>
          <t>SABER + بطارية ليثيوم</t>
        </is>
      </c>
      <c r="P121" s="15" t="n">
        <v>0.15</v>
      </c>
      <c r="Q121" s="14" t="n">
        <v>10</v>
      </c>
      <c r="R121" s="14" t="n">
        <v>50</v>
      </c>
      <c r="S121" s="16">
        <f>J121*'الافتراضات'!$B$2*(1+'الافتراضات'!$B$3)</f>
        <v/>
      </c>
      <c r="T121" s="16">
        <f>L121*'الافتراضات'!$B$4</f>
        <v/>
      </c>
      <c r="U121" s="16">
        <f>(S121+T121)*'الافتراضات'!$B$5</f>
        <v/>
      </c>
      <c r="V121" s="16">
        <f>S121+T121+U121</f>
        <v/>
      </c>
      <c r="W121" s="16">
        <f>MAX(1,E121*P121)</f>
        <v/>
      </c>
      <c r="X121" s="16">
        <f>E121*'الافتراضات'!$B$7</f>
        <v/>
      </c>
      <c r="Y121" s="16">
        <f>E121*'الافتراضات'!$B$8</f>
        <v/>
      </c>
      <c r="Z121" s="16">
        <f>E121/(1+'الافتراضات'!$B$6)</f>
        <v/>
      </c>
      <c r="AA121" s="16">
        <f>Z121-V121-W121-Q121-X121-Y121</f>
        <v/>
      </c>
      <c r="AB121" s="17">
        <f>IF(Z121=0,0,AA121/Z121)</f>
        <v/>
      </c>
      <c r="AC121" s="17">
        <f>IF(V121=0,0,AA121/V121)</f>
        <v/>
      </c>
      <c r="AD121" s="18">
        <f>R121*V121</f>
        <v/>
      </c>
      <c r="AE121" s="16">
        <f>IF(AB121&gt;='الافتراضات'!$B$9,IF(O121="لا","ابدأ به","جيد – يحتاج شهادة"),IF(AB121&gt;='الافتراضات'!$B$10,"مقبول","ضعيف"))</f>
        <v/>
      </c>
      <c r="AF121" s="16">
        <f>IF((1-'الافتراضات'!$B$9)/(1+'الافتراضات'!$B$6)-P121-'الافتراضات'!$B$7-'الافتراضات'!$B$8&lt;=0,0,(V121+Q121)/((1-'الافتراضات'!$B$9)/(1+'الافتراضات'!$B$6)-P121-'الافتراضات'!$B$7-'الافتراضات'!$B$8))</f>
        <v/>
      </c>
    </row>
    <row r="122">
      <c r="A122" s="10" t="n">
        <v>121</v>
      </c>
      <c r="B122" s="11" t="inlineStr">
        <is>
          <t>المنزل والمطبخ</t>
        </is>
      </c>
      <c r="C122" s="11" t="inlineStr">
        <is>
          <t>ثلاجة سيارة صغيرة</t>
        </is>
      </c>
      <c r="D122" s="11" t="inlineStr">
        <is>
          <t>mini fridge 4L</t>
        </is>
      </c>
      <c r="E122" s="12" t="n">
        <v>204</v>
      </c>
      <c r="F122" s="10" t="inlineStr">
        <is>
          <t>تقدير</t>
        </is>
      </c>
      <c r="G122" s="10" t="inlineStr">
        <is>
          <t>تقدير</t>
        </is>
      </c>
      <c r="H122" s="10" t="inlineStr">
        <is>
          <t>لم تُفحص</t>
        </is>
      </c>
      <c r="I122" s="10" t="inlineStr">
        <is>
          <t>لم يُفحص</t>
        </is>
      </c>
      <c r="J122" s="13" t="n">
        <v>18</v>
      </c>
      <c r="K122" s="11" t="inlineStr">
        <is>
          <t>تقدير</t>
        </is>
      </c>
      <c r="L122" s="14" t="n">
        <v>2.5</v>
      </c>
      <c r="M122" s="10" t="inlineStr">
        <is>
          <t>كبير</t>
        </is>
      </c>
      <c r="N122" s="11" t="inlineStr">
        <is>
          <t>طوال السنة</t>
        </is>
      </c>
      <c r="O122" s="11" t="inlineStr">
        <is>
          <t>SABER + بطارية ليثيوم</t>
        </is>
      </c>
      <c r="P122" s="15" t="n">
        <v>0.1</v>
      </c>
      <c r="Q122" s="14" t="n">
        <v>16</v>
      </c>
      <c r="R122" s="14" t="n">
        <v>50</v>
      </c>
      <c r="S122" s="16">
        <f>J122*'الافتراضات'!$B$2*(1+'الافتراضات'!$B$3)</f>
        <v/>
      </c>
      <c r="T122" s="16">
        <f>L122*'الافتراضات'!$B$4</f>
        <v/>
      </c>
      <c r="U122" s="16">
        <f>(S122+T122)*'الافتراضات'!$B$5</f>
        <v/>
      </c>
      <c r="V122" s="16">
        <f>S122+T122+U122</f>
        <v/>
      </c>
      <c r="W122" s="16">
        <f>MAX(1,E122*P122)</f>
        <v/>
      </c>
      <c r="X122" s="16">
        <f>E122*'الافتراضات'!$B$7</f>
        <v/>
      </c>
      <c r="Y122" s="16">
        <f>E122*'الافتراضات'!$B$8</f>
        <v/>
      </c>
      <c r="Z122" s="16">
        <f>E122/(1+'الافتراضات'!$B$6)</f>
        <v/>
      </c>
      <c r="AA122" s="16">
        <f>Z122-V122-W122-Q122-X122-Y122</f>
        <v/>
      </c>
      <c r="AB122" s="17">
        <f>IF(Z122=0,0,AA122/Z122)</f>
        <v/>
      </c>
      <c r="AC122" s="17">
        <f>IF(V122=0,0,AA122/V122)</f>
        <v/>
      </c>
      <c r="AD122" s="18">
        <f>R122*V122</f>
        <v/>
      </c>
      <c r="AE122" s="16">
        <f>IF(AB122&gt;='الافتراضات'!$B$9,IF(O122="لا","ابدأ به","جيد – يحتاج شهادة"),IF(AB122&gt;='الافتراضات'!$B$10,"مقبول","ضعيف"))</f>
        <v/>
      </c>
      <c r="AF122" s="16">
        <f>IF((1-'الافتراضات'!$B$9)/(1+'الافتراضات'!$B$6)-P122-'الافتراضات'!$B$7-'الافتراضات'!$B$8&lt;=0,0,(V122+Q122)/((1-'الافتراضات'!$B$9)/(1+'الافتراضات'!$B$6)-P122-'الافتراضات'!$B$7-'الافتراضات'!$B$8))</f>
        <v/>
      </c>
    </row>
    <row r="123">
      <c r="A123" s="10" t="n">
        <v>122</v>
      </c>
      <c r="B123" s="11" t="inlineStr">
        <is>
          <t>الأدوات والصيانة</t>
        </is>
      </c>
      <c r="C123" s="11" t="inlineStr">
        <is>
          <t>مثقاب لاسلكي صغير</t>
        </is>
      </c>
      <c r="D123" s="11" t="inlineStr">
        <is>
          <t>mini cordless drill</t>
        </is>
      </c>
      <c r="E123" s="12" t="n">
        <v>113</v>
      </c>
      <c r="F123" s="10" t="inlineStr">
        <is>
          <t>تقدير</t>
        </is>
      </c>
      <c r="G123" s="10" t="inlineStr">
        <is>
          <t>تقدير</t>
        </is>
      </c>
      <c r="H123" s="10" t="inlineStr">
        <is>
          <t>لم تُفحص</t>
        </is>
      </c>
      <c r="I123" s="10" t="inlineStr">
        <is>
          <t>لم يُفحص</t>
        </is>
      </c>
      <c r="J123" s="13" t="n">
        <v>10</v>
      </c>
      <c r="K123" s="11" t="inlineStr">
        <is>
          <t>تقدير</t>
        </is>
      </c>
      <c r="L123" s="14" t="n">
        <v>0.7</v>
      </c>
      <c r="M123" s="10" t="inlineStr">
        <is>
          <t>متوسط</t>
        </is>
      </c>
      <c r="N123" s="11" t="inlineStr">
        <is>
          <t>طوال السنة</t>
        </is>
      </c>
      <c r="O123" s="11" t="inlineStr">
        <is>
          <t>SABER + بطارية ليثيوم</t>
        </is>
      </c>
      <c r="P123" s="15" t="n">
        <v>0.14</v>
      </c>
      <c r="Q123" s="14" t="n">
        <v>10</v>
      </c>
      <c r="R123" s="14" t="n">
        <v>50</v>
      </c>
      <c r="S123" s="16">
        <f>J123*'الافتراضات'!$B$2*(1+'الافتراضات'!$B$3)</f>
        <v/>
      </c>
      <c r="T123" s="16">
        <f>L123*'الافتراضات'!$B$4</f>
        <v/>
      </c>
      <c r="U123" s="16">
        <f>(S123+T123)*'الافتراضات'!$B$5</f>
        <v/>
      </c>
      <c r="V123" s="16">
        <f>S123+T123+U123</f>
        <v/>
      </c>
      <c r="W123" s="16">
        <f>MAX(1,E123*P123)</f>
        <v/>
      </c>
      <c r="X123" s="16">
        <f>E123*'الافتراضات'!$B$7</f>
        <v/>
      </c>
      <c r="Y123" s="16">
        <f>E123*'الافتراضات'!$B$8</f>
        <v/>
      </c>
      <c r="Z123" s="16">
        <f>E123/(1+'الافتراضات'!$B$6)</f>
        <v/>
      </c>
      <c r="AA123" s="16">
        <f>Z123-V123-W123-Q123-X123-Y123</f>
        <v/>
      </c>
      <c r="AB123" s="17">
        <f>IF(Z123=0,0,AA123/Z123)</f>
        <v/>
      </c>
      <c r="AC123" s="17">
        <f>IF(V123=0,0,AA123/V123)</f>
        <v/>
      </c>
      <c r="AD123" s="18">
        <f>R123*V123</f>
        <v/>
      </c>
      <c r="AE123" s="16">
        <f>IF(AB123&gt;='الافتراضات'!$B$9,IF(O123="لا","ابدأ به","جيد – يحتاج شهادة"),IF(AB123&gt;='الافتراضات'!$B$10,"مقبول","ضعيف"))</f>
        <v/>
      </c>
      <c r="AF123" s="16">
        <f>IF((1-'الافتراضات'!$B$9)/(1+'الافتراضات'!$B$6)-P123-'الافتراضات'!$B$7-'الافتراضات'!$B$8&lt;=0,0,(V123+Q123)/((1-'الافتراضات'!$B$9)/(1+'الافتراضات'!$B$6)-P123-'الافتراضات'!$B$7-'الافتراضات'!$B$8))</f>
        <v/>
      </c>
    </row>
    <row r="124">
      <c r="A124" s="10" t="n">
        <v>123</v>
      </c>
      <c r="B124" s="11" t="inlineStr">
        <is>
          <t>الأدوات والصيانة</t>
        </is>
      </c>
      <c r="C124" s="11" t="inlineStr">
        <is>
          <t>دريل كهربائي لاسلكي 21V</t>
        </is>
      </c>
      <c r="D124" s="11" t="inlineStr">
        <is>
          <t>cordless drill 21V</t>
        </is>
      </c>
      <c r="E124" s="12" t="n">
        <v>226</v>
      </c>
      <c r="F124" s="10" t="inlineStr">
        <is>
          <t>تقدير</t>
        </is>
      </c>
      <c r="G124" s="10" t="inlineStr">
        <is>
          <t>تقدير</t>
        </is>
      </c>
      <c r="H124" s="10" t="inlineStr">
        <is>
          <t>لم تُفحص</t>
        </is>
      </c>
      <c r="I124" s="10" t="inlineStr">
        <is>
          <t>لم يُفحص</t>
        </is>
      </c>
      <c r="J124" s="13" t="n">
        <v>20</v>
      </c>
      <c r="K124" s="11" t="inlineStr">
        <is>
          <t>تقدير</t>
        </is>
      </c>
      <c r="L124" s="14" t="n">
        <v>2</v>
      </c>
      <c r="M124" s="10" t="inlineStr">
        <is>
          <t>كبير</t>
        </is>
      </c>
      <c r="N124" s="11" t="inlineStr">
        <is>
          <t>طوال السنة</t>
        </is>
      </c>
      <c r="O124" s="11" t="inlineStr">
        <is>
          <t>SABER + بطارية ليثيوم</t>
        </is>
      </c>
      <c r="P124" s="15" t="n">
        <v>0.14</v>
      </c>
      <c r="Q124" s="14" t="n">
        <v>15</v>
      </c>
      <c r="R124" s="14" t="n">
        <v>50</v>
      </c>
      <c r="S124" s="16">
        <f>J124*'الافتراضات'!$B$2*(1+'الافتراضات'!$B$3)</f>
        <v/>
      </c>
      <c r="T124" s="16">
        <f>L124*'الافتراضات'!$B$4</f>
        <v/>
      </c>
      <c r="U124" s="16">
        <f>(S124+T124)*'الافتراضات'!$B$5</f>
        <v/>
      </c>
      <c r="V124" s="16">
        <f>S124+T124+U124</f>
        <v/>
      </c>
      <c r="W124" s="16">
        <f>MAX(1,E124*P124)</f>
        <v/>
      </c>
      <c r="X124" s="16">
        <f>E124*'الافتراضات'!$B$7</f>
        <v/>
      </c>
      <c r="Y124" s="16">
        <f>E124*'الافتراضات'!$B$8</f>
        <v/>
      </c>
      <c r="Z124" s="16">
        <f>E124/(1+'الافتراضات'!$B$6)</f>
        <v/>
      </c>
      <c r="AA124" s="16">
        <f>Z124-V124-W124-Q124-X124-Y124</f>
        <v/>
      </c>
      <c r="AB124" s="17">
        <f>IF(Z124=0,0,AA124/Z124)</f>
        <v/>
      </c>
      <c r="AC124" s="17">
        <f>IF(V124=0,0,AA124/V124)</f>
        <v/>
      </c>
      <c r="AD124" s="18">
        <f>R124*V124</f>
        <v/>
      </c>
      <c r="AE124" s="16">
        <f>IF(AB124&gt;='الافتراضات'!$B$9,IF(O124="لا","ابدأ به","جيد – يحتاج شهادة"),IF(AB124&gt;='الافتراضات'!$B$10,"مقبول","ضعيف"))</f>
        <v/>
      </c>
      <c r="AF124" s="16">
        <f>IF((1-'الافتراضات'!$B$9)/(1+'الافتراضات'!$B$6)-P124-'الافتراضات'!$B$7-'الافتراضات'!$B$8&lt;=0,0,(V124+Q124)/((1-'الافتراضات'!$B$9)/(1+'الافتراضات'!$B$6)-P124-'الافتراضات'!$B$7-'الافتراضات'!$B$8))</f>
        <v/>
      </c>
    </row>
    <row r="125">
      <c r="A125" s="10" t="n">
        <v>124</v>
      </c>
      <c r="B125" s="11" t="inlineStr">
        <is>
          <t>الأدوات والصيانة</t>
        </is>
      </c>
      <c r="C125" s="11" t="inlineStr">
        <is>
          <t>شريط قياس 5 متر</t>
        </is>
      </c>
      <c r="D125" s="11" t="inlineStr">
        <is>
          <t>tape measure 5m</t>
        </is>
      </c>
      <c r="E125" s="12" t="n">
        <v>25</v>
      </c>
      <c r="F125" s="10" t="inlineStr">
        <is>
          <t>تقدير</t>
        </is>
      </c>
      <c r="G125" s="10" t="inlineStr">
        <is>
          <t>تقدير</t>
        </is>
      </c>
      <c r="H125" s="10" t="inlineStr">
        <is>
          <t>لم تُفحص</t>
        </is>
      </c>
      <c r="I125" s="10" t="inlineStr">
        <is>
          <t>لم يُفحص</t>
        </is>
      </c>
      <c r="J125" s="13" t="n">
        <v>1</v>
      </c>
      <c r="K125" s="11" t="inlineStr">
        <is>
          <t>تقدير</t>
        </is>
      </c>
      <c r="L125" s="14" t="n">
        <v>0.2</v>
      </c>
      <c r="M125" s="10" t="inlineStr">
        <is>
          <t>صغير</t>
        </is>
      </c>
      <c r="N125" s="11" t="inlineStr">
        <is>
          <t>طوال السنة</t>
        </is>
      </c>
      <c r="O125" s="11" t="inlineStr">
        <is>
          <t>لا</t>
        </is>
      </c>
      <c r="P125" s="15" t="n">
        <v>0.14</v>
      </c>
      <c r="Q125" s="14" t="n">
        <v>7</v>
      </c>
      <c r="R125" s="14" t="n">
        <v>50</v>
      </c>
      <c r="S125" s="16">
        <f>J125*'الافتراضات'!$B$2*(1+'الافتراضات'!$B$3)</f>
        <v/>
      </c>
      <c r="T125" s="16">
        <f>L125*'الافتراضات'!$B$4</f>
        <v/>
      </c>
      <c r="U125" s="16">
        <f>(S125+T125)*'الافتراضات'!$B$5</f>
        <v/>
      </c>
      <c r="V125" s="16">
        <f>S125+T125+U125</f>
        <v/>
      </c>
      <c r="W125" s="16">
        <f>MAX(1,E125*P125)</f>
        <v/>
      </c>
      <c r="X125" s="16">
        <f>E125*'الافتراضات'!$B$7</f>
        <v/>
      </c>
      <c r="Y125" s="16">
        <f>E125*'الافتراضات'!$B$8</f>
        <v/>
      </c>
      <c r="Z125" s="16">
        <f>E125/(1+'الافتراضات'!$B$6)</f>
        <v/>
      </c>
      <c r="AA125" s="16">
        <f>Z125-V125-W125-Q125-X125-Y125</f>
        <v/>
      </c>
      <c r="AB125" s="17">
        <f>IF(Z125=0,0,AA125/Z125)</f>
        <v/>
      </c>
      <c r="AC125" s="17">
        <f>IF(V125=0,0,AA125/V125)</f>
        <v/>
      </c>
      <c r="AD125" s="18">
        <f>R125*V125</f>
        <v/>
      </c>
      <c r="AE125" s="16">
        <f>IF(AB125&gt;='الافتراضات'!$B$9,IF(O125="لا","ابدأ به","جيد – يحتاج شهادة"),IF(AB125&gt;='الافتراضات'!$B$10,"مقبول","ضعيف"))</f>
        <v/>
      </c>
      <c r="AF125" s="16">
        <f>IF((1-'الافتراضات'!$B$9)/(1+'الافتراضات'!$B$6)-P125-'الافتراضات'!$B$7-'الافتراضات'!$B$8&lt;=0,0,(V125+Q125)/((1-'الافتراضات'!$B$9)/(1+'الافتراضات'!$B$6)-P125-'الافتراضات'!$B$7-'الافتراضات'!$B$8))</f>
        <v/>
      </c>
    </row>
    <row r="126">
      <c r="A126" s="10" t="n">
        <v>125</v>
      </c>
      <c r="B126" s="11" t="inlineStr">
        <is>
          <t>التنظيف والغسيل</t>
        </is>
      </c>
      <c r="C126" s="11" t="inlineStr">
        <is>
          <t>إسفنج تنظيف متعدد 20 قطعة</t>
        </is>
      </c>
      <c r="D126" s="11" t="inlineStr">
        <is>
          <t>cleaning sponges 20 pack</t>
        </is>
      </c>
      <c r="E126" s="12" t="n">
        <v>25</v>
      </c>
      <c r="F126" s="10" t="inlineStr">
        <is>
          <t>تقدير</t>
        </is>
      </c>
      <c r="G126" s="10" t="inlineStr">
        <is>
          <t>تقدير</t>
        </is>
      </c>
      <c r="H126" s="10" t="inlineStr">
        <is>
          <t>لم تُفحص</t>
        </is>
      </c>
      <c r="I126" s="10" t="inlineStr">
        <is>
          <t>لم يُفحص</t>
        </is>
      </c>
      <c r="J126" s="13" t="n">
        <v>1.2</v>
      </c>
      <c r="K126" s="11" t="inlineStr">
        <is>
          <t>تقدير</t>
        </is>
      </c>
      <c r="L126" s="14" t="n">
        <v>0.25</v>
      </c>
      <c r="M126" s="10" t="inlineStr">
        <is>
          <t>صغير</t>
        </is>
      </c>
      <c r="N126" s="11" t="inlineStr">
        <is>
          <t>طوال السنة</t>
        </is>
      </c>
      <c r="O126" s="11" t="inlineStr">
        <is>
          <t>لا</t>
        </is>
      </c>
      <c r="P126" s="15" t="n">
        <v>0.09</v>
      </c>
      <c r="Q126" s="14" t="n">
        <v>7</v>
      </c>
      <c r="R126" s="14" t="n">
        <v>50</v>
      </c>
      <c r="S126" s="16">
        <f>J126*'الافتراضات'!$B$2*(1+'الافتراضات'!$B$3)</f>
        <v/>
      </c>
      <c r="T126" s="16">
        <f>L126*'الافتراضات'!$B$4</f>
        <v/>
      </c>
      <c r="U126" s="16">
        <f>(S126+T126)*'الافتراضات'!$B$5</f>
        <v/>
      </c>
      <c r="V126" s="16">
        <f>S126+T126+U126</f>
        <v/>
      </c>
      <c r="W126" s="16">
        <f>MAX(1,E126*P126)</f>
        <v/>
      </c>
      <c r="X126" s="16">
        <f>E126*'الافتراضات'!$B$7</f>
        <v/>
      </c>
      <c r="Y126" s="16">
        <f>E126*'الافتراضات'!$B$8</f>
        <v/>
      </c>
      <c r="Z126" s="16">
        <f>E126/(1+'الافتراضات'!$B$6)</f>
        <v/>
      </c>
      <c r="AA126" s="16">
        <f>Z126-V126-W126-Q126-X126-Y126</f>
        <v/>
      </c>
      <c r="AB126" s="17">
        <f>IF(Z126=0,0,AA126/Z126)</f>
        <v/>
      </c>
      <c r="AC126" s="17">
        <f>IF(V126=0,0,AA126/V126)</f>
        <v/>
      </c>
      <c r="AD126" s="18">
        <f>R126*V126</f>
        <v/>
      </c>
      <c r="AE126" s="16">
        <f>IF(AB126&gt;='الافتراضات'!$B$9,IF(O126="لا","ابدأ به","جيد – يحتاج شهادة"),IF(AB126&gt;='الافتراضات'!$B$10,"مقبول","ضعيف"))</f>
        <v/>
      </c>
      <c r="AF126" s="16">
        <f>IF((1-'الافتراضات'!$B$9)/(1+'الافتراضات'!$B$6)-P126-'الافتراضات'!$B$7-'الافتراضات'!$B$8&lt;=0,0,(V126+Q126)/((1-'الافتراضات'!$B$9)/(1+'الافتراضات'!$B$6)-P126-'الافتراضات'!$B$7-'الافتراضات'!$B$8))</f>
        <v/>
      </c>
    </row>
    <row r="127">
      <c r="A127" s="10" t="n">
        <v>126</v>
      </c>
      <c r="B127" s="11" t="inlineStr">
        <is>
          <t>التنظيف والغسيل</t>
        </is>
      </c>
      <c r="C127" s="11" t="inlineStr">
        <is>
          <t>مزيل وبر ملابس</t>
        </is>
      </c>
      <c r="D127" s="11" t="inlineStr">
        <is>
          <t>lint remover roller</t>
        </is>
      </c>
      <c r="E127" s="12" t="n">
        <v>25</v>
      </c>
      <c r="F127" s="10" t="inlineStr">
        <is>
          <t>تقدير</t>
        </is>
      </c>
      <c r="G127" s="10" t="inlineStr">
        <is>
          <t>تقدير</t>
        </is>
      </c>
      <c r="H127" s="10" t="inlineStr">
        <is>
          <t>لم تُفحص</t>
        </is>
      </c>
      <c r="I127" s="10" t="inlineStr">
        <is>
          <t>لم يُفحص</t>
        </is>
      </c>
      <c r="J127" s="13" t="n">
        <v>1.4</v>
      </c>
      <c r="K127" s="11" t="inlineStr">
        <is>
          <t>تقدير</t>
        </is>
      </c>
      <c r="L127" s="14" t="n">
        <v>0.15</v>
      </c>
      <c r="M127" s="10" t="inlineStr">
        <is>
          <t>صغير</t>
        </is>
      </c>
      <c r="N127" s="11" t="inlineStr">
        <is>
          <t>طوال السنة</t>
        </is>
      </c>
      <c r="O127" s="11" t="inlineStr">
        <is>
          <t>لا</t>
        </is>
      </c>
      <c r="P127" s="15" t="n">
        <v>0.09</v>
      </c>
      <c r="Q127" s="14" t="n">
        <v>7</v>
      </c>
      <c r="R127" s="14" t="n">
        <v>50</v>
      </c>
      <c r="S127" s="16">
        <f>J127*'الافتراضات'!$B$2*(1+'الافتراضات'!$B$3)</f>
        <v/>
      </c>
      <c r="T127" s="16">
        <f>L127*'الافتراضات'!$B$4</f>
        <v/>
      </c>
      <c r="U127" s="16">
        <f>(S127+T127)*'الافتراضات'!$B$5</f>
        <v/>
      </c>
      <c r="V127" s="16">
        <f>S127+T127+U127</f>
        <v/>
      </c>
      <c r="W127" s="16">
        <f>MAX(1,E127*P127)</f>
        <v/>
      </c>
      <c r="X127" s="16">
        <f>E127*'الافتراضات'!$B$7</f>
        <v/>
      </c>
      <c r="Y127" s="16">
        <f>E127*'الافتراضات'!$B$8</f>
        <v/>
      </c>
      <c r="Z127" s="16">
        <f>E127/(1+'الافتراضات'!$B$6)</f>
        <v/>
      </c>
      <c r="AA127" s="16">
        <f>Z127-V127-W127-Q127-X127-Y127</f>
        <v/>
      </c>
      <c r="AB127" s="17">
        <f>IF(Z127=0,0,AA127/Z127)</f>
        <v/>
      </c>
      <c r="AC127" s="17">
        <f>IF(V127=0,0,AA127/V127)</f>
        <v/>
      </c>
      <c r="AD127" s="18">
        <f>R127*V127</f>
        <v/>
      </c>
      <c r="AE127" s="16">
        <f>IF(AB127&gt;='الافتراضات'!$B$9,IF(O127="لا","ابدأ به","جيد – يحتاج شهادة"),IF(AB127&gt;='الافتراضات'!$B$10,"مقبول","ضعيف"))</f>
        <v/>
      </c>
      <c r="AF127" s="16">
        <f>IF((1-'الافتراضات'!$B$9)/(1+'الافتراضات'!$B$6)-P127-'الافتراضات'!$B$7-'الافتراضات'!$B$8&lt;=0,0,(V127+Q127)/((1-'الافتراضات'!$B$9)/(1+'الافتراضات'!$B$6)-P127-'الافتراضات'!$B$7-'الافتراضات'!$B$8))</f>
        <v/>
      </c>
    </row>
    <row r="128">
      <c r="A128" s="10" t="n">
        <v>127</v>
      </c>
      <c r="B128" s="11" t="inlineStr">
        <is>
          <t>إكسسوارات الجوال والإلكترونيات</t>
        </is>
      </c>
      <c r="C128" s="11" t="inlineStr">
        <is>
          <t>قلم لمس سعوي للتابلت</t>
        </is>
      </c>
      <c r="D128" s="11" t="inlineStr">
        <is>
          <t>stylus pen capacitive tablet</t>
        </is>
      </c>
      <c r="E128" s="12" t="n">
        <v>25</v>
      </c>
      <c r="F128" s="10" t="inlineStr">
        <is>
          <t>تقدير</t>
        </is>
      </c>
      <c r="G128" s="10" t="inlineStr">
        <is>
          <t>تقدير</t>
        </is>
      </c>
      <c r="H128" s="10" t="inlineStr">
        <is>
          <t>لم تُفحص</t>
        </is>
      </c>
      <c r="I128" s="10" t="inlineStr">
        <is>
          <t>لم يُفحص</t>
        </is>
      </c>
      <c r="J128" s="13" t="n">
        <v>1.8</v>
      </c>
      <c r="K128" s="11" t="inlineStr">
        <is>
          <t>تقدير</t>
        </is>
      </c>
      <c r="L128" s="14" t="n">
        <v>0.04</v>
      </c>
      <c r="M128" s="10" t="inlineStr">
        <is>
          <t>صغير</t>
        </is>
      </c>
      <c r="N128" s="11" t="inlineStr">
        <is>
          <t>طوال السنة</t>
        </is>
      </c>
      <c r="O128" s="11" t="inlineStr">
        <is>
          <t>SABER + بطارية ليثيوم</t>
        </is>
      </c>
      <c r="P128" s="15" t="n">
        <v>0.1</v>
      </c>
      <c r="Q128" s="14" t="n">
        <v>6</v>
      </c>
      <c r="R128" s="14" t="n">
        <v>50</v>
      </c>
      <c r="S128" s="16">
        <f>J128*'الافتراضات'!$B$2*(1+'الافتراضات'!$B$3)</f>
        <v/>
      </c>
      <c r="T128" s="16">
        <f>L128*'الافتراضات'!$B$4</f>
        <v/>
      </c>
      <c r="U128" s="16">
        <f>(S128+T128)*'الافتراضات'!$B$5</f>
        <v/>
      </c>
      <c r="V128" s="16">
        <f>S128+T128+U128</f>
        <v/>
      </c>
      <c r="W128" s="16">
        <f>MAX(1,E128*P128)</f>
        <v/>
      </c>
      <c r="X128" s="16">
        <f>E128*'الافتراضات'!$B$7</f>
        <v/>
      </c>
      <c r="Y128" s="16">
        <f>E128*'الافتراضات'!$B$8</f>
        <v/>
      </c>
      <c r="Z128" s="16">
        <f>E128/(1+'الافتراضات'!$B$6)</f>
        <v/>
      </c>
      <c r="AA128" s="16">
        <f>Z128-V128-W128-Q128-X128-Y128</f>
        <v/>
      </c>
      <c r="AB128" s="17">
        <f>IF(Z128=0,0,AA128/Z128)</f>
        <v/>
      </c>
      <c r="AC128" s="17">
        <f>IF(V128=0,0,AA128/V128)</f>
        <v/>
      </c>
      <c r="AD128" s="18">
        <f>R128*V128</f>
        <v/>
      </c>
      <c r="AE128" s="16">
        <f>IF(AB128&gt;='الافتراضات'!$B$9,IF(O128="لا","ابدأ به","جيد – يحتاج شهادة"),IF(AB128&gt;='الافتراضات'!$B$10,"مقبول","ضعيف"))</f>
        <v/>
      </c>
      <c r="AF128" s="16">
        <f>IF((1-'الافتراضات'!$B$9)/(1+'الافتراضات'!$B$6)-P128-'الافتراضات'!$B$7-'الافتراضات'!$B$8&lt;=0,0,(V128+Q128)/((1-'الافتراضات'!$B$9)/(1+'الافتراضات'!$B$6)-P128-'الافتراضات'!$B$7-'الافتراضات'!$B$8))</f>
        <v/>
      </c>
    </row>
    <row r="129">
      <c r="A129" s="10" t="n">
        <v>128</v>
      </c>
      <c r="B129" s="11" t="inlineStr">
        <is>
          <t>التخييم والسفر</t>
        </is>
      </c>
      <c r="C129" s="11" t="inlineStr">
        <is>
          <t>قفازات شتوية تعمل بشاشات اللمس</t>
        </is>
      </c>
      <c r="D129" s="11" t="inlineStr">
        <is>
          <t>touchscreen winter gloves</t>
        </is>
      </c>
      <c r="E129" s="12" t="n">
        <v>25</v>
      </c>
      <c r="F129" s="10" t="inlineStr">
        <is>
          <t>تقدير</t>
        </is>
      </c>
      <c r="G129" s="10" t="inlineStr">
        <is>
          <t>تقدير</t>
        </is>
      </c>
      <c r="H129" s="10" t="inlineStr">
        <is>
          <t>لم تُفحص</t>
        </is>
      </c>
      <c r="I129" s="10" t="inlineStr">
        <is>
          <t>لم يُفحص</t>
        </is>
      </c>
      <c r="J129" s="13" t="n">
        <v>1.1</v>
      </c>
      <c r="K129" s="11" t="inlineStr">
        <is>
          <t>تقدير</t>
        </is>
      </c>
      <c r="L129" s="14" t="n">
        <v>0.1</v>
      </c>
      <c r="M129" s="10" t="inlineStr">
        <is>
          <t>صغير</t>
        </is>
      </c>
      <c r="N129" s="11" t="inlineStr">
        <is>
          <t>الشتاء والكشتات</t>
        </is>
      </c>
      <c r="O129" s="11" t="inlineStr">
        <is>
          <t>لا</t>
        </is>
      </c>
      <c r="P129" s="15" t="n">
        <v>0.2</v>
      </c>
      <c r="Q129" s="14" t="n">
        <v>6</v>
      </c>
      <c r="R129" s="14" t="n">
        <v>50</v>
      </c>
      <c r="S129" s="16">
        <f>J129*'الافتراضات'!$B$2*(1+'الافتراضات'!$B$3)</f>
        <v/>
      </c>
      <c r="T129" s="16">
        <f>L129*'الافتراضات'!$B$4</f>
        <v/>
      </c>
      <c r="U129" s="16">
        <f>(S129+T129)*'الافتراضات'!$B$5</f>
        <v/>
      </c>
      <c r="V129" s="16">
        <f>S129+T129+U129</f>
        <v/>
      </c>
      <c r="W129" s="16">
        <f>MAX(1,E129*P129)</f>
        <v/>
      </c>
      <c r="X129" s="16">
        <f>E129*'الافتراضات'!$B$7</f>
        <v/>
      </c>
      <c r="Y129" s="16">
        <f>E129*'الافتراضات'!$B$8</f>
        <v/>
      </c>
      <c r="Z129" s="16">
        <f>E129/(1+'الافتراضات'!$B$6)</f>
        <v/>
      </c>
      <c r="AA129" s="16">
        <f>Z129-V129-W129-Q129-X129-Y129</f>
        <v/>
      </c>
      <c r="AB129" s="17">
        <f>IF(Z129=0,0,AA129/Z129)</f>
        <v/>
      </c>
      <c r="AC129" s="17">
        <f>IF(V129=0,0,AA129/V129)</f>
        <v/>
      </c>
      <c r="AD129" s="18">
        <f>R129*V129</f>
        <v/>
      </c>
      <c r="AE129" s="16">
        <f>IF(AB129&gt;='الافتراضات'!$B$9,IF(O129="لا","ابدأ به","جيد – يحتاج شهادة"),IF(AB129&gt;='الافتراضات'!$B$10,"مقبول","ضعيف"))</f>
        <v/>
      </c>
      <c r="AF129" s="16">
        <f>IF((1-'الافتراضات'!$B$9)/(1+'الافتراضات'!$B$6)-P129-'الافتراضات'!$B$7-'الافتراضات'!$B$8&lt;=0,0,(V129+Q129)/((1-'الافتراضات'!$B$9)/(1+'الافتراضات'!$B$6)-P129-'الافتراضات'!$B$7-'الافتراضات'!$B$8))</f>
        <v/>
      </c>
    </row>
    <row r="130">
      <c r="A130" s="10" t="n">
        <v>129</v>
      </c>
      <c r="B130" s="11" t="inlineStr">
        <is>
          <t>الرياضة واللياقة</t>
        </is>
      </c>
      <c r="C130" s="11" t="inlineStr">
        <is>
          <t>حقيبة ماء ظهر للدراجة</t>
        </is>
      </c>
      <c r="D130" s="11" t="inlineStr">
        <is>
          <t>hydration backpack</t>
        </is>
      </c>
      <c r="E130" s="12" t="n">
        <v>102</v>
      </c>
      <c r="F130" s="10" t="inlineStr">
        <is>
          <t>تقدير</t>
        </is>
      </c>
      <c r="G130" s="10" t="inlineStr">
        <is>
          <t>تقدير</t>
        </is>
      </c>
      <c r="H130" s="10" t="inlineStr">
        <is>
          <t>لم تُفحص</t>
        </is>
      </c>
      <c r="I130" s="10" t="inlineStr">
        <is>
          <t>لم يُفحص</t>
        </is>
      </c>
      <c r="J130" s="13" t="n">
        <v>9</v>
      </c>
      <c r="K130" s="11" t="inlineStr">
        <is>
          <t>تقدير</t>
        </is>
      </c>
      <c r="L130" s="14" t="n">
        <v>0.7</v>
      </c>
      <c r="M130" s="10" t="inlineStr">
        <is>
          <t>متوسط</t>
        </is>
      </c>
      <c r="N130" s="11" t="inlineStr">
        <is>
          <t>طوال السنة</t>
        </is>
      </c>
      <c r="O130" s="11" t="inlineStr">
        <is>
          <t>لا</t>
        </is>
      </c>
      <c r="P130" s="15" t="n">
        <v>0.13</v>
      </c>
      <c r="Q130" s="14" t="n">
        <v>10</v>
      </c>
      <c r="R130" s="14" t="n">
        <v>50</v>
      </c>
      <c r="S130" s="16">
        <f>J130*'الافتراضات'!$B$2*(1+'الافتراضات'!$B$3)</f>
        <v/>
      </c>
      <c r="T130" s="16">
        <f>L130*'الافتراضات'!$B$4</f>
        <v/>
      </c>
      <c r="U130" s="16">
        <f>(S130+T130)*'الافتراضات'!$B$5</f>
        <v/>
      </c>
      <c r="V130" s="16">
        <f>S130+T130+U130</f>
        <v/>
      </c>
      <c r="W130" s="16">
        <f>MAX(1,E130*P130)</f>
        <v/>
      </c>
      <c r="X130" s="16">
        <f>E130*'الافتراضات'!$B$7</f>
        <v/>
      </c>
      <c r="Y130" s="16">
        <f>E130*'الافتراضات'!$B$8</f>
        <v/>
      </c>
      <c r="Z130" s="16">
        <f>E130/(1+'الافتراضات'!$B$6)</f>
        <v/>
      </c>
      <c r="AA130" s="16">
        <f>Z130-V130-W130-Q130-X130-Y130</f>
        <v/>
      </c>
      <c r="AB130" s="17">
        <f>IF(Z130=0,0,AA130/Z130)</f>
        <v/>
      </c>
      <c r="AC130" s="17">
        <f>IF(V130=0,0,AA130/V130)</f>
        <v/>
      </c>
      <c r="AD130" s="18">
        <f>R130*V130</f>
        <v/>
      </c>
      <c r="AE130" s="16">
        <f>IF(AB130&gt;='الافتراضات'!$B$9,IF(O130="لا","ابدأ به","جيد – يحتاج شهادة"),IF(AB130&gt;='الافتراضات'!$B$10,"مقبول","ضعيف"))</f>
        <v/>
      </c>
      <c r="AF130" s="16">
        <f>IF((1-'الافتراضات'!$B$9)/(1+'الافتراضات'!$B$6)-P130-'الافتراضات'!$B$7-'الافتراضات'!$B$8&lt;=0,0,(V130+Q130)/((1-'الافتراضات'!$B$9)/(1+'الافتراضات'!$B$6)-P130-'الافتراضات'!$B$7-'الافتراضات'!$B$8))</f>
        <v/>
      </c>
    </row>
    <row r="131">
      <c r="A131" s="10" t="n">
        <v>130</v>
      </c>
      <c r="B131" s="11" t="inlineStr">
        <is>
          <t>الأدوات والصيانة</t>
        </is>
      </c>
      <c r="C131" s="11" t="inlineStr">
        <is>
          <t>ماكينة لحام صغيرة</t>
        </is>
      </c>
      <c r="D131" s="11" t="inlineStr">
        <is>
          <t>mini welding machine</t>
        </is>
      </c>
      <c r="E131" s="12" t="n">
        <v>283</v>
      </c>
      <c r="F131" s="10" t="inlineStr">
        <is>
          <t>تقدير</t>
        </is>
      </c>
      <c r="G131" s="10" t="inlineStr">
        <is>
          <t>تقدير</t>
        </is>
      </c>
      <c r="H131" s="10" t="inlineStr">
        <is>
          <t>لم تُفحص</t>
        </is>
      </c>
      <c r="I131" s="10" t="inlineStr">
        <is>
          <t>لم يُفحص</t>
        </is>
      </c>
      <c r="J131" s="13" t="n">
        <v>25</v>
      </c>
      <c r="K131" s="11" t="inlineStr">
        <is>
          <t>تقدير</t>
        </is>
      </c>
      <c r="L131" s="14" t="n">
        <v>3</v>
      </c>
      <c r="M131" s="10" t="inlineStr">
        <is>
          <t>كبير</t>
        </is>
      </c>
      <c r="N131" s="11" t="inlineStr">
        <is>
          <t>طوال السنة</t>
        </is>
      </c>
      <c r="O131" s="11" t="inlineStr">
        <is>
          <t>SABER</t>
        </is>
      </c>
      <c r="P131" s="15" t="n">
        <v>0.14</v>
      </c>
      <c r="Q131" s="14" t="n">
        <v>16</v>
      </c>
      <c r="R131" s="14" t="n">
        <v>50</v>
      </c>
      <c r="S131" s="16">
        <f>J131*'الافتراضات'!$B$2*(1+'الافتراضات'!$B$3)</f>
        <v/>
      </c>
      <c r="T131" s="16">
        <f>L131*'الافتراضات'!$B$4</f>
        <v/>
      </c>
      <c r="U131" s="16">
        <f>(S131+T131)*'الافتراضات'!$B$5</f>
        <v/>
      </c>
      <c r="V131" s="16">
        <f>S131+T131+U131</f>
        <v/>
      </c>
      <c r="W131" s="16">
        <f>MAX(1,E131*P131)</f>
        <v/>
      </c>
      <c r="X131" s="16">
        <f>E131*'الافتراضات'!$B$7</f>
        <v/>
      </c>
      <c r="Y131" s="16">
        <f>E131*'الافتراضات'!$B$8</f>
        <v/>
      </c>
      <c r="Z131" s="16">
        <f>E131/(1+'الافتراضات'!$B$6)</f>
        <v/>
      </c>
      <c r="AA131" s="16">
        <f>Z131-V131-W131-Q131-X131-Y131</f>
        <v/>
      </c>
      <c r="AB131" s="17">
        <f>IF(Z131=0,0,AA131/Z131)</f>
        <v/>
      </c>
      <c r="AC131" s="17">
        <f>IF(V131=0,0,AA131/V131)</f>
        <v/>
      </c>
      <c r="AD131" s="18">
        <f>R131*V131</f>
        <v/>
      </c>
      <c r="AE131" s="16">
        <f>IF(AB131&gt;='الافتراضات'!$B$9,IF(O131="لا","ابدأ به","جيد – يحتاج شهادة"),IF(AB131&gt;='الافتراضات'!$B$10,"مقبول","ضعيف"))</f>
        <v/>
      </c>
      <c r="AF131" s="16">
        <f>IF((1-'الافتراضات'!$B$9)/(1+'الافتراضات'!$B$6)-P131-'الافتراضات'!$B$7-'الافتراضات'!$B$8&lt;=0,0,(V131+Q131)/((1-'الافتراضات'!$B$9)/(1+'الافتراضات'!$B$6)-P131-'الافتراضات'!$B$7-'الافتراضات'!$B$8))</f>
        <v/>
      </c>
    </row>
    <row r="132">
      <c r="A132" s="10" t="n">
        <v>131</v>
      </c>
      <c r="B132" s="11" t="inlineStr">
        <is>
          <t>المنزل والمطبخ</t>
        </is>
      </c>
      <c r="C132" s="11" t="inlineStr">
        <is>
          <t>جهاز تدليك القدمين</t>
        </is>
      </c>
      <c r="D132" s="11" t="inlineStr">
        <is>
          <t>foot massager electric</t>
        </is>
      </c>
      <c r="E132" s="12" t="n">
        <v>340</v>
      </c>
      <c r="F132" s="10" t="inlineStr">
        <is>
          <t>تقدير</t>
        </is>
      </c>
      <c r="G132" s="10" t="inlineStr">
        <is>
          <t>تقدير</t>
        </is>
      </c>
      <c r="H132" s="10" t="inlineStr">
        <is>
          <t>لم تُفحص</t>
        </is>
      </c>
      <c r="I132" s="10" t="inlineStr">
        <is>
          <t>لم يُفحص</t>
        </is>
      </c>
      <c r="J132" s="13" t="n">
        <v>30</v>
      </c>
      <c r="K132" s="11" t="inlineStr">
        <is>
          <t>تقدير</t>
        </is>
      </c>
      <c r="L132" s="14" t="n">
        <v>3.5</v>
      </c>
      <c r="M132" s="10" t="inlineStr">
        <is>
          <t>كبير</t>
        </is>
      </c>
      <c r="N132" s="11" t="inlineStr">
        <is>
          <t>طوال السنة</t>
        </is>
      </c>
      <c r="O132" s="11" t="inlineStr">
        <is>
          <t>SABER</t>
        </is>
      </c>
      <c r="P132" s="15" t="n">
        <v>0.15</v>
      </c>
      <c r="Q132" s="14" t="n">
        <v>17</v>
      </c>
      <c r="R132" s="14" t="n">
        <v>50</v>
      </c>
      <c r="S132" s="16">
        <f>J132*'الافتراضات'!$B$2*(1+'الافتراضات'!$B$3)</f>
        <v/>
      </c>
      <c r="T132" s="16">
        <f>L132*'الافتراضات'!$B$4</f>
        <v/>
      </c>
      <c r="U132" s="16">
        <f>(S132+T132)*'الافتراضات'!$B$5</f>
        <v/>
      </c>
      <c r="V132" s="16">
        <f>S132+T132+U132</f>
        <v/>
      </c>
      <c r="W132" s="16">
        <f>MAX(1,E132*P132)</f>
        <v/>
      </c>
      <c r="X132" s="16">
        <f>E132*'الافتراضات'!$B$7</f>
        <v/>
      </c>
      <c r="Y132" s="16">
        <f>E132*'الافتراضات'!$B$8</f>
        <v/>
      </c>
      <c r="Z132" s="16">
        <f>E132/(1+'الافتراضات'!$B$6)</f>
        <v/>
      </c>
      <c r="AA132" s="16">
        <f>Z132-V132-W132-Q132-X132-Y132</f>
        <v/>
      </c>
      <c r="AB132" s="17">
        <f>IF(Z132=0,0,AA132/Z132)</f>
        <v/>
      </c>
      <c r="AC132" s="17">
        <f>IF(V132=0,0,AA132/V132)</f>
        <v/>
      </c>
      <c r="AD132" s="18">
        <f>R132*V132</f>
        <v/>
      </c>
      <c r="AE132" s="16">
        <f>IF(AB132&gt;='الافتراضات'!$B$9,IF(O132="لا","ابدأ به","جيد – يحتاج شهادة"),IF(AB132&gt;='الافتراضات'!$B$10,"مقبول","ضعيف"))</f>
        <v/>
      </c>
      <c r="AF132" s="16">
        <f>IF((1-'الافتراضات'!$B$9)/(1+'الافتراضات'!$B$6)-P132-'الافتراضات'!$B$7-'الافتراضات'!$B$8&lt;=0,0,(V132+Q132)/((1-'الافتراضات'!$B$9)/(1+'الافتراضات'!$B$6)-P132-'الافتراضات'!$B$7-'الافتراضات'!$B$8))</f>
        <v/>
      </c>
    </row>
    <row r="133">
      <c r="A133" s="10" t="n">
        <v>132</v>
      </c>
      <c r="B133" s="11" t="inlineStr">
        <is>
          <t>التخييم والسفر</t>
        </is>
      </c>
      <c r="C133" s="11" t="inlineStr">
        <is>
          <t>حقيبة ظهر للرحلات 40 لتر</t>
        </is>
      </c>
      <c r="D133" s="11" t="inlineStr">
        <is>
          <t>hiking backpack 40L</t>
        </is>
      </c>
      <c r="E133" s="12" t="n">
        <v>113</v>
      </c>
      <c r="F133" s="10" t="inlineStr">
        <is>
          <t>تقدير</t>
        </is>
      </c>
      <c r="G133" s="10" t="inlineStr">
        <is>
          <t>تقدير</t>
        </is>
      </c>
      <c r="H133" s="10" t="inlineStr">
        <is>
          <t>لم تُفحص</t>
        </is>
      </c>
      <c r="I133" s="10" t="inlineStr">
        <is>
          <t>لم يُفحص</t>
        </is>
      </c>
      <c r="J133" s="13" t="n">
        <v>10</v>
      </c>
      <c r="K133" s="11" t="inlineStr">
        <is>
          <t>تقدير</t>
        </is>
      </c>
      <c r="L133" s="14" t="n">
        <v>0.9</v>
      </c>
      <c r="M133" s="10" t="inlineStr">
        <is>
          <t>متوسط</t>
        </is>
      </c>
      <c r="N133" s="11" t="inlineStr">
        <is>
          <t>طوال السنة</t>
        </is>
      </c>
      <c r="O133" s="11" t="inlineStr">
        <is>
          <t>لا</t>
        </is>
      </c>
      <c r="P133" s="15" t="n">
        <v>0.13</v>
      </c>
      <c r="Q133" s="14" t="n">
        <v>10</v>
      </c>
      <c r="R133" s="14" t="n">
        <v>50</v>
      </c>
      <c r="S133" s="16">
        <f>J133*'الافتراضات'!$B$2*(1+'الافتراضات'!$B$3)</f>
        <v/>
      </c>
      <c r="T133" s="16">
        <f>L133*'الافتراضات'!$B$4</f>
        <v/>
      </c>
      <c r="U133" s="16">
        <f>(S133+T133)*'الافتراضات'!$B$5</f>
        <v/>
      </c>
      <c r="V133" s="16">
        <f>S133+T133+U133</f>
        <v/>
      </c>
      <c r="W133" s="16">
        <f>MAX(1,E133*P133)</f>
        <v/>
      </c>
      <c r="X133" s="16">
        <f>E133*'الافتراضات'!$B$7</f>
        <v/>
      </c>
      <c r="Y133" s="16">
        <f>E133*'الافتراضات'!$B$8</f>
        <v/>
      </c>
      <c r="Z133" s="16">
        <f>E133/(1+'الافتراضات'!$B$6)</f>
        <v/>
      </c>
      <c r="AA133" s="16">
        <f>Z133-V133-W133-Q133-X133-Y133</f>
        <v/>
      </c>
      <c r="AB133" s="17">
        <f>IF(Z133=0,0,AA133/Z133)</f>
        <v/>
      </c>
      <c r="AC133" s="17">
        <f>IF(V133=0,0,AA133/V133)</f>
        <v/>
      </c>
      <c r="AD133" s="18">
        <f>R133*V133</f>
        <v/>
      </c>
      <c r="AE133" s="16">
        <f>IF(AB133&gt;='الافتراضات'!$B$9,IF(O133="لا","ابدأ به","جيد – يحتاج شهادة"),IF(AB133&gt;='الافتراضات'!$B$10,"مقبول","ضعيف"))</f>
        <v/>
      </c>
      <c r="AF133" s="16">
        <f>IF((1-'الافتراضات'!$B$9)/(1+'الافتراضات'!$B$6)-P133-'الافتراضات'!$B$7-'الافتراضات'!$B$8&lt;=0,0,(V133+Q133)/((1-'الافتراضات'!$B$9)/(1+'الافتراضات'!$B$6)-P133-'الافتراضات'!$B$7-'الافتراضات'!$B$8))</f>
        <v/>
      </c>
    </row>
    <row r="134">
      <c r="A134" s="10" t="n">
        <v>133</v>
      </c>
      <c r="B134" s="11" t="inlineStr">
        <is>
          <t>إكسسوارات الجوال والإلكترونيات</t>
        </is>
      </c>
      <c r="C134" s="11" t="inlineStr">
        <is>
          <t>ميزان أمتعة رقمي</t>
        </is>
      </c>
      <c r="D134" s="11" t="inlineStr">
        <is>
          <t>digital luggage scale</t>
        </is>
      </c>
      <c r="E134" s="12" t="n">
        <v>25</v>
      </c>
      <c r="F134" s="10" t="inlineStr">
        <is>
          <t>تقدير</t>
        </is>
      </c>
      <c r="G134" s="10" t="inlineStr">
        <is>
          <t>تقدير</t>
        </is>
      </c>
      <c r="H134" s="10" t="inlineStr">
        <is>
          <t>لم تُفحص</t>
        </is>
      </c>
      <c r="I134" s="10" t="inlineStr">
        <is>
          <t>لم يُفحص</t>
        </is>
      </c>
      <c r="J134" s="13" t="n">
        <v>1.4</v>
      </c>
      <c r="K134" s="11" t="inlineStr">
        <is>
          <t>تقدير</t>
        </is>
      </c>
      <c r="L134" s="14" t="n">
        <v>0.1</v>
      </c>
      <c r="M134" s="10" t="inlineStr">
        <is>
          <t>صغير</t>
        </is>
      </c>
      <c r="N134" s="11" t="inlineStr">
        <is>
          <t>طوال السنة</t>
        </is>
      </c>
      <c r="O134" s="11" t="inlineStr">
        <is>
          <t>SABER + بطارية ليثيوم</t>
        </is>
      </c>
      <c r="P134" s="15" t="n">
        <v>0.15</v>
      </c>
      <c r="Q134" s="14" t="n">
        <v>6</v>
      </c>
      <c r="R134" s="14" t="n">
        <v>50</v>
      </c>
      <c r="S134" s="16">
        <f>J134*'الافتراضات'!$B$2*(1+'الافتراضات'!$B$3)</f>
        <v/>
      </c>
      <c r="T134" s="16">
        <f>L134*'الافتراضات'!$B$4</f>
        <v/>
      </c>
      <c r="U134" s="16">
        <f>(S134+T134)*'الافتراضات'!$B$5</f>
        <v/>
      </c>
      <c r="V134" s="16">
        <f>S134+T134+U134</f>
        <v/>
      </c>
      <c r="W134" s="16">
        <f>MAX(1,E134*P134)</f>
        <v/>
      </c>
      <c r="X134" s="16">
        <f>E134*'الافتراضات'!$B$7</f>
        <v/>
      </c>
      <c r="Y134" s="16">
        <f>E134*'الافتراضات'!$B$8</f>
        <v/>
      </c>
      <c r="Z134" s="16">
        <f>E134/(1+'الافتراضات'!$B$6)</f>
        <v/>
      </c>
      <c r="AA134" s="16">
        <f>Z134-V134-W134-Q134-X134-Y134</f>
        <v/>
      </c>
      <c r="AB134" s="17">
        <f>IF(Z134=0,0,AA134/Z134)</f>
        <v/>
      </c>
      <c r="AC134" s="17">
        <f>IF(V134=0,0,AA134/V134)</f>
        <v/>
      </c>
      <c r="AD134" s="18">
        <f>R134*V134</f>
        <v/>
      </c>
      <c r="AE134" s="16">
        <f>IF(AB134&gt;='الافتراضات'!$B$9,IF(O134="لا","ابدأ به","جيد – يحتاج شهادة"),IF(AB134&gt;='الافتراضات'!$B$10,"مقبول","ضعيف"))</f>
        <v/>
      </c>
      <c r="AF134" s="16">
        <f>IF((1-'الافتراضات'!$B$9)/(1+'الافتراضات'!$B$6)-P134-'الافتراضات'!$B$7-'الافتراضات'!$B$8&lt;=0,0,(V134+Q134)/((1-'الافتراضات'!$B$9)/(1+'الافتراضات'!$B$6)-P134-'الافتراضات'!$B$7-'الافتراضات'!$B$8))</f>
        <v/>
      </c>
    </row>
    <row r="135">
      <c r="A135" s="10" t="n">
        <v>134</v>
      </c>
      <c r="B135" s="11" t="inlineStr">
        <is>
          <t>الأطفال والألعاب</t>
        </is>
      </c>
      <c r="C135" s="11" t="inlineStr">
        <is>
          <t>عربة أطفال خفيفة</t>
        </is>
      </c>
      <c r="D135" s="11" t="inlineStr">
        <is>
          <t>lightweight baby stroller</t>
        </is>
      </c>
      <c r="E135" s="12" t="n">
        <v>509</v>
      </c>
      <c r="F135" s="10" t="inlineStr">
        <is>
          <t>تقدير</t>
        </is>
      </c>
      <c r="G135" s="10" t="inlineStr">
        <is>
          <t>تقدير</t>
        </is>
      </c>
      <c r="H135" s="10" t="inlineStr">
        <is>
          <t>لم تُفحص</t>
        </is>
      </c>
      <c r="I135" s="10" t="inlineStr">
        <is>
          <t>لم يُفحص</t>
        </is>
      </c>
      <c r="J135" s="13" t="n">
        <v>45</v>
      </c>
      <c r="K135" s="11" t="inlineStr">
        <is>
          <t>تقدير</t>
        </is>
      </c>
      <c r="L135" s="14" t="n">
        <v>6</v>
      </c>
      <c r="M135" s="10" t="inlineStr">
        <is>
          <t>كبير</t>
        </is>
      </c>
      <c r="N135" s="11" t="inlineStr">
        <is>
          <t>طوال السنة</t>
        </is>
      </c>
      <c r="O135" s="11" t="inlineStr">
        <is>
          <t>تحقق من اللوائح</t>
        </is>
      </c>
      <c r="P135" s="15" t="n">
        <v>0.15</v>
      </c>
      <c r="Q135" s="14" t="n">
        <v>19</v>
      </c>
      <c r="R135" s="14" t="n">
        <v>50</v>
      </c>
      <c r="S135" s="16">
        <f>J135*'الافتراضات'!$B$2*(1+'الافتراضات'!$B$3)</f>
        <v/>
      </c>
      <c r="T135" s="16">
        <f>L135*'الافتراضات'!$B$4</f>
        <v/>
      </c>
      <c r="U135" s="16">
        <f>(S135+T135)*'الافتراضات'!$B$5</f>
        <v/>
      </c>
      <c r="V135" s="16">
        <f>S135+T135+U135</f>
        <v/>
      </c>
      <c r="W135" s="16">
        <f>MAX(1,E135*P135)</f>
        <v/>
      </c>
      <c r="X135" s="16">
        <f>E135*'الافتراضات'!$B$7</f>
        <v/>
      </c>
      <c r="Y135" s="16">
        <f>E135*'الافتراضات'!$B$8</f>
        <v/>
      </c>
      <c r="Z135" s="16">
        <f>E135/(1+'الافتراضات'!$B$6)</f>
        <v/>
      </c>
      <c r="AA135" s="16">
        <f>Z135-V135-W135-Q135-X135-Y135</f>
        <v/>
      </c>
      <c r="AB135" s="17">
        <f>IF(Z135=0,0,AA135/Z135)</f>
        <v/>
      </c>
      <c r="AC135" s="17">
        <f>IF(V135=0,0,AA135/V135)</f>
        <v/>
      </c>
      <c r="AD135" s="18">
        <f>R135*V135</f>
        <v/>
      </c>
      <c r="AE135" s="16">
        <f>IF(AB135&gt;='الافتراضات'!$B$9,IF(O135="لا","ابدأ به","جيد – يحتاج شهادة"),IF(AB135&gt;='الافتراضات'!$B$10,"مقبول","ضعيف"))</f>
        <v/>
      </c>
      <c r="AF135" s="16">
        <f>IF((1-'الافتراضات'!$B$9)/(1+'الافتراضات'!$B$6)-P135-'الافتراضات'!$B$7-'الافتراضات'!$B$8&lt;=0,0,(V135+Q135)/((1-'الافتراضات'!$B$9)/(1+'الافتراضات'!$B$6)-P135-'الافتراضات'!$B$7-'الافتراضات'!$B$8))</f>
        <v/>
      </c>
    </row>
    <row r="136">
      <c r="A136" s="10" t="n">
        <v>135</v>
      </c>
      <c r="B136" s="11" t="inlineStr">
        <is>
          <t>الأدوات والصيانة</t>
        </is>
      </c>
      <c r="C136" s="11" t="inlineStr">
        <is>
          <t>مضخة غسيل ضغط عالي</t>
        </is>
      </c>
      <c r="D136" s="11" t="inlineStr">
        <is>
          <t>pressure washer portable</t>
        </is>
      </c>
      <c r="E136" s="12" t="n">
        <v>340</v>
      </c>
      <c r="F136" s="10" t="inlineStr">
        <is>
          <t>تقدير</t>
        </is>
      </c>
      <c r="G136" s="10" t="inlineStr">
        <is>
          <t>تقدير</t>
        </is>
      </c>
      <c r="H136" s="10" t="inlineStr">
        <is>
          <t>لم تُفحص</t>
        </is>
      </c>
      <c r="I136" s="10" t="inlineStr">
        <is>
          <t>لم يُفحص</t>
        </is>
      </c>
      <c r="J136" s="13" t="n">
        <v>30</v>
      </c>
      <c r="K136" s="11" t="inlineStr">
        <is>
          <t>تقدير</t>
        </is>
      </c>
      <c r="L136" s="14" t="n">
        <v>4</v>
      </c>
      <c r="M136" s="10" t="inlineStr">
        <is>
          <t>كبير</t>
        </is>
      </c>
      <c r="N136" s="11" t="inlineStr">
        <is>
          <t>طوال السنة</t>
        </is>
      </c>
      <c r="O136" s="11" t="inlineStr">
        <is>
          <t>SABER</t>
        </is>
      </c>
      <c r="P136" s="15" t="n">
        <v>0.14</v>
      </c>
      <c r="Q136" s="14" t="n">
        <v>17</v>
      </c>
      <c r="R136" s="14" t="n">
        <v>50</v>
      </c>
      <c r="S136" s="16">
        <f>J136*'الافتراضات'!$B$2*(1+'الافتراضات'!$B$3)</f>
        <v/>
      </c>
      <c r="T136" s="16">
        <f>L136*'الافتراضات'!$B$4</f>
        <v/>
      </c>
      <c r="U136" s="16">
        <f>(S136+T136)*'الافتراضات'!$B$5</f>
        <v/>
      </c>
      <c r="V136" s="16">
        <f>S136+T136+U136</f>
        <v/>
      </c>
      <c r="W136" s="16">
        <f>MAX(1,E136*P136)</f>
        <v/>
      </c>
      <c r="X136" s="16">
        <f>E136*'الافتراضات'!$B$7</f>
        <v/>
      </c>
      <c r="Y136" s="16">
        <f>E136*'الافتراضات'!$B$8</f>
        <v/>
      </c>
      <c r="Z136" s="16">
        <f>E136/(1+'الافتراضات'!$B$6)</f>
        <v/>
      </c>
      <c r="AA136" s="16">
        <f>Z136-V136-W136-Q136-X136-Y136</f>
        <v/>
      </c>
      <c r="AB136" s="17">
        <f>IF(Z136=0,0,AA136/Z136)</f>
        <v/>
      </c>
      <c r="AC136" s="17">
        <f>IF(V136=0,0,AA136/V136)</f>
        <v/>
      </c>
      <c r="AD136" s="18">
        <f>R136*V136</f>
        <v/>
      </c>
      <c r="AE136" s="16">
        <f>IF(AB136&gt;='الافتراضات'!$B$9,IF(O136="لا","ابدأ به","جيد – يحتاج شهادة"),IF(AB136&gt;='الافتراضات'!$B$10,"مقبول","ضعيف"))</f>
        <v/>
      </c>
      <c r="AF136" s="16">
        <f>IF((1-'الافتراضات'!$B$9)/(1+'الافتراضات'!$B$6)-P136-'الافتراضات'!$B$7-'الافتراضات'!$B$8&lt;=0,0,(V136+Q136)/((1-'الافتراضات'!$B$9)/(1+'الافتراضات'!$B$6)-P136-'الافتراضات'!$B$7-'الافتراضات'!$B$8))</f>
        <v/>
      </c>
    </row>
    <row r="137">
      <c r="A137" s="10" t="n">
        <v>136</v>
      </c>
      <c r="B137" s="11" t="inlineStr">
        <is>
          <t>إكسسوارات الجوال والإلكترونيات</t>
        </is>
      </c>
      <c r="C137" s="11" t="inlineStr">
        <is>
          <t>حافظة جوال شفافة مغناطيسية</t>
        </is>
      </c>
      <c r="D137" s="11" t="inlineStr">
        <is>
          <t>clear magnetic phone case</t>
        </is>
      </c>
      <c r="E137" s="12" t="n">
        <v>25</v>
      </c>
      <c r="F137" s="10" t="inlineStr">
        <is>
          <t>تقدير</t>
        </is>
      </c>
      <c r="G137" s="10" t="inlineStr">
        <is>
          <t>تقدير</t>
        </is>
      </c>
      <c r="H137" s="10" t="inlineStr">
        <is>
          <t>لم تُفحص</t>
        </is>
      </c>
      <c r="I137" s="10" t="inlineStr">
        <is>
          <t>لم يُفحص</t>
        </is>
      </c>
      <c r="J137" s="13" t="n">
        <v>1.2</v>
      </c>
      <c r="K137" s="11" t="inlineStr">
        <is>
          <t>تقدير</t>
        </is>
      </c>
      <c r="L137" s="14" t="n">
        <v>0.06</v>
      </c>
      <c r="M137" s="10" t="inlineStr">
        <is>
          <t>صغير</t>
        </is>
      </c>
      <c r="N137" s="11" t="inlineStr">
        <is>
          <t>طوال السنة</t>
        </is>
      </c>
      <c r="O137" s="11" t="inlineStr">
        <is>
          <t>لا</t>
        </is>
      </c>
      <c r="P137" s="15" t="n">
        <v>0.2</v>
      </c>
      <c r="Q137" s="14" t="n">
        <v>6</v>
      </c>
      <c r="R137" s="14" t="n">
        <v>50</v>
      </c>
      <c r="S137" s="16">
        <f>J137*'الافتراضات'!$B$2*(1+'الافتراضات'!$B$3)</f>
        <v/>
      </c>
      <c r="T137" s="16">
        <f>L137*'الافتراضات'!$B$4</f>
        <v/>
      </c>
      <c r="U137" s="16">
        <f>(S137+T137)*'الافتراضات'!$B$5</f>
        <v/>
      </c>
      <c r="V137" s="16">
        <f>S137+T137+U137</f>
        <v/>
      </c>
      <c r="W137" s="16">
        <f>MAX(1,E137*P137)</f>
        <v/>
      </c>
      <c r="X137" s="16">
        <f>E137*'الافتراضات'!$B$7</f>
        <v/>
      </c>
      <c r="Y137" s="16">
        <f>E137*'الافتراضات'!$B$8</f>
        <v/>
      </c>
      <c r="Z137" s="16">
        <f>E137/(1+'الافتراضات'!$B$6)</f>
        <v/>
      </c>
      <c r="AA137" s="16">
        <f>Z137-V137-W137-Q137-X137-Y137</f>
        <v/>
      </c>
      <c r="AB137" s="17">
        <f>IF(Z137=0,0,AA137/Z137)</f>
        <v/>
      </c>
      <c r="AC137" s="17">
        <f>IF(V137=0,0,AA137/V137)</f>
        <v/>
      </c>
      <c r="AD137" s="18">
        <f>R137*V137</f>
        <v/>
      </c>
      <c r="AE137" s="16">
        <f>IF(AB137&gt;='الافتراضات'!$B$9,IF(O137="لا","ابدأ به","جيد – يحتاج شهادة"),IF(AB137&gt;='الافتراضات'!$B$10,"مقبول","ضعيف"))</f>
        <v/>
      </c>
      <c r="AF137" s="16">
        <f>IF((1-'الافتراضات'!$B$9)/(1+'الافتراضات'!$B$6)-P137-'الافتراضات'!$B$7-'الافتراضات'!$B$8&lt;=0,0,(V137+Q137)/((1-'الافتراضات'!$B$9)/(1+'الافتراضات'!$B$6)-P137-'الافتراضات'!$B$7-'الافتراضات'!$B$8))</f>
        <v/>
      </c>
    </row>
    <row r="138">
      <c r="A138" s="10" t="n">
        <v>137</v>
      </c>
      <c r="B138" s="11" t="inlineStr">
        <is>
          <t>إكسسوارات الجوال والإلكترونيات</t>
        </is>
      </c>
      <c r="C138" s="11" t="inlineStr">
        <is>
          <t>ساوند بار صغير للكمبيوتر</t>
        </is>
      </c>
      <c r="D138" s="11" t="inlineStr">
        <is>
          <t>USB computer soundbar</t>
        </is>
      </c>
      <c r="E138" s="12" t="n">
        <v>79</v>
      </c>
      <c r="F138" s="10" t="inlineStr">
        <is>
          <t>تقدير</t>
        </is>
      </c>
      <c r="G138" s="10" t="inlineStr">
        <is>
          <t>تقدير</t>
        </is>
      </c>
      <c r="H138" s="10" t="inlineStr">
        <is>
          <t>لم تُفحص</t>
        </is>
      </c>
      <c r="I138" s="10" t="inlineStr">
        <is>
          <t>لم يُفحص</t>
        </is>
      </c>
      <c r="J138" s="13" t="n">
        <v>7</v>
      </c>
      <c r="K138" s="11" t="inlineStr">
        <is>
          <t>تقدير</t>
        </is>
      </c>
      <c r="L138" s="14" t="n">
        <v>0.6</v>
      </c>
      <c r="M138" s="10" t="inlineStr">
        <is>
          <t>متوسط</t>
        </is>
      </c>
      <c r="N138" s="11" t="inlineStr">
        <is>
          <t>طوال السنة</t>
        </is>
      </c>
      <c r="O138" s="11" t="inlineStr">
        <is>
          <t>SABER</t>
        </is>
      </c>
      <c r="P138" s="15" t="n">
        <v>0.1</v>
      </c>
      <c r="Q138" s="14" t="n">
        <v>10</v>
      </c>
      <c r="R138" s="14" t="n">
        <v>50</v>
      </c>
      <c r="S138" s="16">
        <f>J138*'الافتراضات'!$B$2*(1+'الافتراضات'!$B$3)</f>
        <v/>
      </c>
      <c r="T138" s="16">
        <f>L138*'الافتراضات'!$B$4</f>
        <v/>
      </c>
      <c r="U138" s="16">
        <f>(S138+T138)*'الافتراضات'!$B$5</f>
        <v/>
      </c>
      <c r="V138" s="16">
        <f>S138+T138+U138</f>
        <v/>
      </c>
      <c r="W138" s="16">
        <f>MAX(1,E138*P138)</f>
        <v/>
      </c>
      <c r="X138" s="16">
        <f>E138*'الافتراضات'!$B$7</f>
        <v/>
      </c>
      <c r="Y138" s="16">
        <f>E138*'الافتراضات'!$B$8</f>
        <v/>
      </c>
      <c r="Z138" s="16">
        <f>E138/(1+'الافتراضات'!$B$6)</f>
        <v/>
      </c>
      <c r="AA138" s="16">
        <f>Z138-V138-W138-Q138-X138-Y138</f>
        <v/>
      </c>
      <c r="AB138" s="17">
        <f>IF(Z138=0,0,AA138/Z138)</f>
        <v/>
      </c>
      <c r="AC138" s="17">
        <f>IF(V138=0,0,AA138/V138)</f>
        <v/>
      </c>
      <c r="AD138" s="18">
        <f>R138*V138</f>
        <v/>
      </c>
      <c r="AE138" s="16">
        <f>IF(AB138&gt;='الافتراضات'!$B$9,IF(O138="لا","ابدأ به","جيد – يحتاج شهادة"),IF(AB138&gt;='الافتراضات'!$B$10,"مقبول","ضعيف"))</f>
        <v/>
      </c>
      <c r="AF138" s="16">
        <f>IF((1-'الافتراضات'!$B$9)/(1+'الافتراضات'!$B$6)-P138-'الافتراضات'!$B$7-'الافتراضات'!$B$8&lt;=0,0,(V138+Q138)/((1-'الافتراضات'!$B$9)/(1+'الافتراضات'!$B$6)-P138-'الافتراضات'!$B$7-'الافتراضات'!$B$8))</f>
        <v/>
      </c>
    </row>
    <row r="139">
      <c r="A139" s="10" t="n">
        <v>138</v>
      </c>
      <c r="B139" s="11" t="inlineStr">
        <is>
          <t>السيارات والدراجات</t>
        </is>
      </c>
      <c r="C139" s="11" t="inlineStr">
        <is>
          <t>حامل جوال للدراجة والسكوتر</t>
        </is>
      </c>
      <c r="D139" s="11" t="inlineStr">
        <is>
          <t>bike scooter phone mount</t>
        </is>
      </c>
      <c r="E139" s="12" t="n">
        <v>25</v>
      </c>
      <c r="F139" s="10" t="inlineStr">
        <is>
          <t>تقدير</t>
        </is>
      </c>
      <c r="G139" s="10" t="inlineStr">
        <is>
          <t>تقدير</t>
        </is>
      </c>
      <c r="H139" s="10" t="inlineStr">
        <is>
          <t>لم تُفحص</t>
        </is>
      </c>
      <c r="I139" s="10" t="inlineStr">
        <is>
          <t>لم يُفحص</t>
        </is>
      </c>
      <c r="J139" s="13" t="n">
        <v>1.4</v>
      </c>
      <c r="K139" s="11" t="inlineStr">
        <is>
          <t>تقدير</t>
        </is>
      </c>
      <c r="L139" s="14" t="n">
        <v>0.15</v>
      </c>
      <c r="M139" s="10" t="inlineStr">
        <is>
          <t>صغير</t>
        </is>
      </c>
      <c r="N139" s="11" t="inlineStr">
        <is>
          <t>طوال السنة</t>
        </is>
      </c>
      <c r="O139" s="11" t="inlineStr">
        <is>
          <t>لا</t>
        </is>
      </c>
      <c r="P139" s="15" t="n">
        <v>0.1</v>
      </c>
      <c r="Q139" s="14" t="n">
        <v>7</v>
      </c>
      <c r="R139" s="14" t="n">
        <v>50</v>
      </c>
      <c r="S139" s="16">
        <f>J139*'الافتراضات'!$B$2*(1+'الافتراضات'!$B$3)</f>
        <v/>
      </c>
      <c r="T139" s="16">
        <f>L139*'الافتراضات'!$B$4</f>
        <v/>
      </c>
      <c r="U139" s="16">
        <f>(S139+T139)*'الافتراضات'!$B$5</f>
        <v/>
      </c>
      <c r="V139" s="16">
        <f>S139+T139+U139</f>
        <v/>
      </c>
      <c r="W139" s="16">
        <f>MAX(1,E139*P139)</f>
        <v/>
      </c>
      <c r="X139" s="16">
        <f>E139*'الافتراضات'!$B$7</f>
        <v/>
      </c>
      <c r="Y139" s="16">
        <f>E139*'الافتراضات'!$B$8</f>
        <v/>
      </c>
      <c r="Z139" s="16">
        <f>E139/(1+'الافتراضات'!$B$6)</f>
        <v/>
      </c>
      <c r="AA139" s="16">
        <f>Z139-V139-W139-Q139-X139-Y139</f>
        <v/>
      </c>
      <c r="AB139" s="17">
        <f>IF(Z139=0,0,AA139/Z139)</f>
        <v/>
      </c>
      <c r="AC139" s="17">
        <f>IF(V139=0,0,AA139/V139)</f>
        <v/>
      </c>
      <c r="AD139" s="18">
        <f>R139*V139</f>
        <v/>
      </c>
      <c r="AE139" s="16">
        <f>IF(AB139&gt;='الافتراضات'!$B$9,IF(O139="لا","ابدأ به","جيد – يحتاج شهادة"),IF(AB139&gt;='الافتراضات'!$B$10,"مقبول","ضعيف"))</f>
        <v/>
      </c>
      <c r="AF139" s="16">
        <f>IF((1-'الافتراضات'!$B$9)/(1+'الافتراضات'!$B$6)-P139-'الافتراضات'!$B$7-'الافتراضات'!$B$8&lt;=0,0,(V139+Q139)/((1-'الافتراضات'!$B$9)/(1+'الافتراضات'!$B$6)-P139-'الافتراضات'!$B$7-'الافتراضات'!$B$8))</f>
        <v/>
      </c>
    </row>
    <row r="140">
      <c r="A140" s="10" t="n">
        <v>139</v>
      </c>
      <c r="B140" s="11" t="inlineStr">
        <is>
          <t>المنزل والمطبخ</t>
        </is>
      </c>
      <c r="C140" s="11" t="inlineStr">
        <is>
          <t>سخان مياه كهربائي للكوب</t>
        </is>
      </c>
      <c r="D140" s="11" t="inlineStr">
        <is>
          <t>immersion water heater</t>
        </is>
      </c>
      <c r="E140" s="12" t="n">
        <v>25</v>
      </c>
      <c r="F140" s="10" t="inlineStr">
        <is>
          <t>تقدير</t>
        </is>
      </c>
      <c r="G140" s="10" t="inlineStr">
        <is>
          <t>تقدير</t>
        </is>
      </c>
      <c r="H140" s="10" t="inlineStr">
        <is>
          <t>لم تُفحص</t>
        </is>
      </c>
      <c r="I140" s="10" t="inlineStr">
        <is>
          <t>لم يُفحص</t>
        </is>
      </c>
      <c r="J140" s="13" t="n">
        <v>1.4</v>
      </c>
      <c r="K140" s="11" t="inlineStr">
        <is>
          <t>تقدير</t>
        </is>
      </c>
      <c r="L140" s="14" t="n">
        <v>0.15</v>
      </c>
      <c r="M140" s="10" t="inlineStr">
        <is>
          <t>صغير</t>
        </is>
      </c>
      <c r="N140" s="11" t="inlineStr">
        <is>
          <t>طوال السنة</t>
        </is>
      </c>
      <c r="O140" s="11" t="inlineStr">
        <is>
          <t>SABER</t>
        </is>
      </c>
      <c r="P140" s="15" t="n">
        <v>0.1</v>
      </c>
      <c r="Q140" s="14" t="n">
        <v>7</v>
      </c>
      <c r="R140" s="14" t="n">
        <v>50</v>
      </c>
      <c r="S140" s="16">
        <f>J140*'الافتراضات'!$B$2*(1+'الافتراضات'!$B$3)</f>
        <v/>
      </c>
      <c r="T140" s="16">
        <f>L140*'الافتراضات'!$B$4</f>
        <v/>
      </c>
      <c r="U140" s="16">
        <f>(S140+T140)*'الافتراضات'!$B$5</f>
        <v/>
      </c>
      <c r="V140" s="16">
        <f>S140+T140+U140</f>
        <v/>
      </c>
      <c r="W140" s="16">
        <f>MAX(1,E140*P140)</f>
        <v/>
      </c>
      <c r="X140" s="16">
        <f>E140*'الافتراضات'!$B$7</f>
        <v/>
      </c>
      <c r="Y140" s="16">
        <f>E140*'الافتراضات'!$B$8</f>
        <v/>
      </c>
      <c r="Z140" s="16">
        <f>E140/(1+'الافتراضات'!$B$6)</f>
        <v/>
      </c>
      <c r="AA140" s="16">
        <f>Z140-V140-W140-Q140-X140-Y140</f>
        <v/>
      </c>
      <c r="AB140" s="17">
        <f>IF(Z140=0,0,AA140/Z140)</f>
        <v/>
      </c>
      <c r="AC140" s="17">
        <f>IF(V140=0,0,AA140/V140)</f>
        <v/>
      </c>
      <c r="AD140" s="18">
        <f>R140*V140</f>
        <v/>
      </c>
      <c r="AE140" s="16">
        <f>IF(AB140&gt;='الافتراضات'!$B$9,IF(O140="لا","ابدأ به","جيد – يحتاج شهادة"),IF(AB140&gt;='الافتراضات'!$B$10,"مقبول","ضعيف"))</f>
        <v/>
      </c>
      <c r="AF140" s="16">
        <f>IF((1-'الافتراضات'!$B$9)/(1+'الافتراضات'!$B$6)-P140-'الافتراضات'!$B$7-'الافتراضات'!$B$8&lt;=0,0,(V140+Q140)/((1-'الافتراضات'!$B$9)/(1+'الافتراضات'!$B$6)-P140-'الافتراضات'!$B$7-'الافتراضات'!$B$8))</f>
        <v/>
      </c>
    </row>
    <row r="141">
      <c r="A141" s="10" t="n">
        <v>140</v>
      </c>
      <c r="B141" s="11" t="inlineStr">
        <is>
          <t>المكتب والدراسة</t>
        </is>
      </c>
      <c r="C141" s="11" t="inlineStr">
        <is>
          <t>إضاءة شاشة مونيتور</t>
        </is>
      </c>
      <c r="D141" s="11" t="inlineStr">
        <is>
          <t>monitor light bar</t>
        </is>
      </c>
      <c r="E141" s="12" t="n">
        <v>91</v>
      </c>
      <c r="F141" s="10" t="inlineStr">
        <is>
          <t>تقدير</t>
        </is>
      </c>
      <c r="G141" s="10" t="inlineStr">
        <is>
          <t>تقدير</t>
        </is>
      </c>
      <c r="H141" s="10" t="inlineStr">
        <is>
          <t>لم تُفحص</t>
        </is>
      </c>
      <c r="I141" s="10" t="inlineStr">
        <is>
          <t>لم يُفحص</t>
        </is>
      </c>
      <c r="J141" s="13" t="n">
        <v>8</v>
      </c>
      <c r="K141" s="11" t="inlineStr">
        <is>
          <t>تقدير</t>
        </is>
      </c>
      <c r="L141" s="14" t="n">
        <v>0.6</v>
      </c>
      <c r="M141" s="10" t="inlineStr">
        <is>
          <t>متوسط</t>
        </is>
      </c>
      <c r="N141" s="11" t="inlineStr">
        <is>
          <t>طوال السنة</t>
        </is>
      </c>
      <c r="O141" s="11" t="inlineStr">
        <is>
          <t>SABER</t>
        </is>
      </c>
      <c r="P141" s="15" t="n">
        <v>0.13</v>
      </c>
      <c r="Q141" s="14" t="n">
        <v>10</v>
      </c>
      <c r="R141" s="14" t="n">
        <v>50</v>
      </c>
      <c r="S141" s="16">
        <f>J141*'الافتراضات'!$B$2*(1+'الافتراضات'!$B$3)</f>
        <v/>
      </c>
      <c r="T141" s="16">
        <f>L141*'الافتراضات'!$B$4</f>
        <v/>
      </c>
      <c r="U141" s="16">
        <f>(S141+T141)*'الافتراضات'!$B$5</f>
        <v/>
      </c>
      <c r="V141" s="16">
        <f>S141+T141+U141</f>
        <v/>
      </c>
      <c r="W141" s="16">
        <f>MAX(1,E141*P141)</f>
        <v/>
      </c>
      <c r="X141" s="16">
        <f>E141*'الافتراضات'!$B$7</f>
        <v/>
      </c>
      <c r="Y141" s="16">
        <f>E141*'الافتراضات'!$B$8</f>
        <v/>
      </c>
      <c r="Z141" s="16">
        <f>E141/(1+'الافتراضات'!$B$6)</f>
        <v/>
      </c>
      <c r="AA141" s="16">
        <f>Z141-V141-W141-Q141-X141-Y141</f>
        <v/>
      </c>
      <c r="AB141" s="17">
        <f>IF(Z141=0,0,AA141/Z141)</f>
        <v/>
      </c>
      <c r="AC141" s="17">
        <f>IF(V141=0,0,AA141/V141)</f>
        <v/>
      </c>
      <c r="AD141" s="18">
        <f>R141*V141</f>
        <v/>
      </c>
      <c r="AE141" s="16">
        <f>IF(AB141&gt;='الافتراضات'!$B$9,IF(O141="لا","ابدأ به","جيد – يحتاج شهادة"),IF(AB141&gt;='الافتراضات'!$B$10,"مقبول","ضعيف"))</f>
        <v/>
      </c>
      <c r="AF141" s="16">
        <f>IF((1-'الافتراضات'!$B$9)/(1+'الافتراضات'!$B$6)-P141-'الافتراضات'!$B$7-'الافتراضات'!$B$8&lt;=0,0,(V141+Q141)/((1-'الافتراضات'!$B$9)/(1+'الافتراضات'!$B$6)-P141-'الافتراضات'!$B$7-'الافتراضات'!$B$8))</f>
        <v/>
      </c>
    </row>
    <row r="142">
      <c r="A142" s="10" t="n">
        <v>141</v>
      </c>
      <c r="B142" s="11" t="inlineStr">
        <is>
          <t>إكسسوارات الجوال والإلكترونيات</t>
        </is>
      </c>
      <c r="C142" s="11" t="inlineStr">
        <is>
          <t>كيبورد عربي صغير للتابلت</t>
        </is>
      </c>
      <c r="D142" s="11" t="inlineStr">
        <is>
          <t>arabic bluetooth keyboard tablet</t>
        </is>
      </c>
      <c r="E142" s="12" t="n">
        <v>79</v>
      </c>
      <c r="F142" s="10" t="inlineStr">
        <is>
          <t>تقدير</t>
        </is>
      </c>
      <c r="G142" s="10" t="inlineStr">
        <is>
          <t>تقدير</t>
        </is>
      </c>
      <c r="H142" s="10" t="inlineStr">
        <is>
          <t>لم تُفحص</t>
        </is>
      </c>
      <c r="I142" s="10" t="inlineStr">
        <is>
          <t>لم يُفحص</t>
        </is>
      </c>
      <c r="J142" s="13" t="n">
        <v>7</v>
      </c>
      <c r="K142" s="11" t="inlineStr">
        <is>
          <t>تقدير</t>
        </is>
      </c>
      <c r="L142" s="14" t="n">
        <v>0.4</v>
      </c>
      <c r="M142" s="10" t="inlineStr">
        <is>
          <t>متوسط</t>
        </is>
      </c>
      <c r="N142" s="11" t="inlineStr">
        <is>
          <t>طوال السنة</t>
        </is>
      </c>
      <c r="O142" s="11" t="inlineStr">
        <is>
          <t>SABER + بطارية ليثيوم</t>
        </is>
      </c>
      <c r="P142" s="15" t="n">
        <v>0.13</v>
      </c>
      <c r="Q142" s="14" t="n">
        <v>9.5</v>
      </c>
      <c r="R142" s="14" t="n">
        <v>50</v>
      </c>
      <c r="S142" s="16">
        <f>J142*'الافتراضات'!$B$2*(1+'الافتراضات'!$B$3)</f>
        <v/>
      </c>
      <c r="T142" s="16">
        <f>L142*'الافتراضات'!$B$4</f>
        <v/>
      </c>
      <c r="U142" s="16">
        <f>(S142+T142)*'الافتراضات'!$B$5</f>
        <v/>
      </c>
      <c r="V142" s="16">
        <f>S142+T142+U142</f>
        <v/>
      </c>
      <c r="W142" s="16">
        <f>MAX(1,E142*P142)</f>
        <v/>
      </c>
      <c r="X142" s="16">
        <f>E142*'الافتراضات'!$B$7</f>
        <v/>
      </c>
      <c r="Y142" s="16">
        <f>E142*'الافتراضات'!$B$8</f>
        <v/>
      </c>
      <c r="Z142" s="16">
        <f>E142/(1+'الافتراضات'!$B$6)</f>
        <v/>
      </c>
      <c r="AA142" s="16">
        <f>Z142-V142-W142-Q142-X142-Y142</f>
        <v/>
      </c>
      <c r="AB142" s="17">
        <f>IF(Z142=0,0,AA142/Z142)</f>
        <v/>
      </c>
      <c r="AC142" s="17">
        <f>IF(V142=0,0,AA142/V142)</f>
        <v/>
      </c>
      <c r="AD142" s="18">
        <f>R142*V142</f>
        <v/>
      </c>
      <c r="AE142" s="16">
        <f>IF(AB142&gt;='الافتراضات'!$B$9,IF(O142="لا","ابدأ به","جيد – يحتاج شهادة"),IF(AB142&gt;='الافتراضات'!$B$10,"مقبول","ضعيف"))</f>
        <v/>
      </c>
      <c r="AF142" s="16">
        <f>IF((1-'الافتراضات'!$B$9)/(1+'الافتراضات'!$B$6)-P142-'الافتراضات'!$B$7-'الافتراضات'!$B$8&lt;=0,0,(V142+Q142)/((1-'الافتراضات'!$B$9)/(1+'الافتراضات'!$B$6)-P142-'الافتراضات'!$B$7-'الافتراضات'!$B$8))</f>
        <v/>
      </c>
    </row>
    <row r="143">
      <c r="A143" s="10" t="n">
        <v>142</v>
      </c>
      <c r="B143" s="11" t="inlineStr">
        <is>
          <t>إكسسوارات الجوال والإلكترونيات</t>
        </is>
      </c>
      <c r="C143" s="11" t="inlineStr">
        <is>
          <t>يد تحكم ألعاب للجوال</t>
        </is>
      </c>
      <c r="D143" s="11" t="inlineStr">
        <is>
          <t>mobile game controller bluetooth</t>
        </is>
      </c>
      <c r="E143" s="12" t="n">
        <v>79</v>
      </c>
      <c r="F143" s="10" t="inlineStr">
        <is>
          <t>تقدير</t>
        </is>
      </c>
      <c r="G143" s="10" t="inlineStr">
        <is>
          <t>تقدير</t>
        </is>
      </c>
      <c r="H143" s="10" t="inlineStr">
        <is>
          <t>لم تُفحص</t>
        </is>
      </c>
      <c r="I143" s="10" t="inlineStr">
        <is>
          <t>لم يُفحص</t>
        </is>
      </c>
      <c r="J143" s="13" t="n">
        <v>7</v>
      </c>
      <c r="K143" s="11" t="inlineStr">
        <is>
          <t>تقدير</t>
        </is>
      </c>
      <c r="L143" s="14" t="n">
        <v>0.4</v>
      </c>
      <c r="M143" s="10" t="inlineStr">
        <is>
          <t>متوسط</t>
        </is>
      </c>
      <c r="N143" s="11" t="inlineStr">
        <is>
          <t>طوال السنة</t>
        </is>
      </c>
      <c r="O143" s="11" t="inlineStr">
        <is>
          <t>SABER + بطارية ليثيوم</t>
        </is>
      </c>
      <c r="P143" s="15" t="n">
        <v>0.13</v>
      </c>
      <c r="Q143" s="14" t="n">
        <v>9.5</v>
      </c>
      <c r="R143" s="14" t="n">
        <v>50</v>
      </c>
      <c r="S143" s="16">
        <f>J143*'الافتراضات'!$B$2*(1+'الافتراضات'!$B$3)</f>
        <v/>
      </c>
      <c r="T143" s="16">
        <f>L143*'الافتراضات'!$B$4</f>
        <v/>
      </c>
      <c r="U143" s="16">
        <f>(S143+T143)*'الافتراضات'!$B$5</f>
        <v/>
      </c>
      <c r="V143" s="16">
        <f>S143+T143+U143</f>
        <v/>
      </c>
      <c r="W143" s="16">
        <f>MAX(1,E143*P143)</f>
        <v/>
      </c>
      <c r="X143" s="16">
        <f>E143*'الافتراضات'!$B$7</f>
        <v/>
      </c>
      <c r="Y143" s="16">
        <f>E143*'الافتراضات'!$B$8</f>
        <v/>
      </c>
      <c r="Z143" s="16">
        <f>E143/(1+'الافتراضات'!$B$6)</f>
        <v/>
      </c>
      <c r="AA143" s="16">
        <f>Z143-V143-W143-Q143-X143-Y143</f>
        <v/>
      </c>
      <c r="AB143" s="17">
        <f>IF(Z143=0,0,AA143/Z143)</f>
        <v/>
      </c>
      <c r="AC143" s="17">
        <f>IF(V143=0,0,AA143/V143)</f>
        <v/>
      </c>
      <c r="AD143" s="18">
        <f>R143*V143</f>
        <v/>
      </c>
      <c r="AE143" s="16">
        <f>IF(AB143&gt;='الافتراضات'!$B$9,IF(O143="لا","ابدأ به","جيد – يحتاج شهادة"),IF(AB143&gt;='الافتراضات'!$B$10,"مقبول","ضعيف"))</f>
        <v/>
      </c>
      <c r="AF143" s="16">
        <f>IF((1-'الافتراضات'!$B$9)/(1+'الافتراضات'!$B$6)-P143-'الافتراضات'!$B$7-'الافتراضات'!$B$8&lt;=0,0,(V143+Q143)/((1-'الافتراضات'!$B$9)/(1+'الافتراضات'!$B$6)-P143-'الافتراضات'!$B$7-'الافتراضات'!$B$8))</f>
        <v/>
      </c>
    </row>
    <row r="144">
      <c r="A144" s="10" t="n">
        <v>143</v>
      </c>
      <c r="B144" s="11" t="inlineStr">
        <is>
          <t>إكسسوارات الجوال والإلكترونيات</t>
        </is>
      </c>
      <c r="C144" s="11" t="inlineStr">
        <is>
          <t>يد ألعاب لاسلكية للكمبيوتر</t>
        </is>
      </c>
      <c r="D144" s="11" t="inlineStr">
        <is>
          <t>wireless gamepad pc</t>
        </is>
      </c>
      <c r="E144" s="12" t="n">
        <v>79</v>
      </c>
      <c r="F144" s="10" t="inlineStr">
        <is>
          <t>تقدير</t>
        </is>
      </c>
      <c r="G144" s="10" t="inlineStr">
        <is>
          <t>تقدير</t>
        </is>
      </c>
      <c r="H144" s="10" t="inlineStr">
        <is>
          <t>لم تُفحص</t>
        </is>
      </c>
      <c r="I144" s="10" t="inlineStr">
        <is>
          <t>لم يُفحص</t>
        </is>
      </c>
      <c r="J144" s="13" t="n">
        <v>7</v>
      </c>
      <c r="K144" s="11" t="inlineStr">
        <is>
          <t>تقدير</t>
        </is>
      </c>
      <c r="L144" s="14" t="n">
        <v>0.4</v>
      </c>
      <c r="M144" s="10" t="inlineStr">
        <is>
          <t>متوسط</t>
        </is>
      </c>
      <c r="N144" s="11" t="inlineStr">
        <is>
          <t>طوال السنة</t>
        </is>
      </c>
      <c r="O144" s="11" t="inlineStr">
        <is>
          <t>SABER + بطارية ليثيوم</t>
        </is>
      </c>
      <c r="P144" s="15" t="n">
        <v>0.13</v>
      </c>
      <c r="Q144" s="14" t="n">
        <v>9.5</v>
      </c>
      <c r="R144" s="14" t="n">
        <v>50</v>
      </c>
      <c r="S144" s="16">
        <f>J144*'الافتراضات'!$B$2*(1+'الافتراضات'!$B$3)</f>
        <v/>
      </c>
      <c r="T144" s="16">
        <f>L144*'الافتراضات'!$B$4</f>
        <v/>
      </c>
      <c r="U144" s="16">
        <f>(S144+T144)*'الافتراضات'!$B$5</f>
        <v/>
      </c>
      <c r="V144" s="16">
        <f>S144+T144+U144</f>
        <v/>
      </c>
      <c r="W144" s="16">
        <f>MAX(1,E144*P144)</f>
        <v/>
      </c>
      <c r="X144" s="16">
        <f>E144*'الافتراضات'!$B$7</f>
        <v/>
      </c>
      <c r="Y144" s="16">
        <f>E144*'الافتراضات'!$B$8</f>
        <v/>
      </c>
      <c r="Z144" s="16">
        <f>E144/(1+'الافتراضات'!$B$6)</f>
        <v/>
      </c>
      <c r="AA144" s="16">
        <f>Z144-V144-W144-Q144-X144-Y144</f>
        <v/>
      </c>
      <c r="AB144" s="17">
        <f>IF(Z144=0,0,AA144/Z144)</f>
        <v/>
      </c>
      <c r="AC144" s="17">
        <f>IF(V144=0,0,AA144/V144)</f>
        <v/>
      </c>
      <c r="AD144" s="18">
        <f>R144*V144</f>
        <v/>
      </c>
      <c r="AE144" s="16">
        <f>IF(AB144&gt;='الافتراضات'!$B$9,IF(O144="لا","ابدأ به","جيد – يحتاج شهادة"),IF(AB144&gt;='الافتراضات'!$B$10,"مقبول","ضعيف"))</f>
        <v/>
      </c>
      <c r="AF144" s="16">
        <f>IF((1-'الافتراضات'!$B$9)/(1+'الافتراضات'!$B$6)-P144-'الافتراضات'!$B$7-'الافتراضات'!$B$8&lt;=0,0,(V144+Q144)/((1-'الافتراضات'!$B$9)/(1+'الافتراضات'!$B$6)-P144-'الافتراضات'!$B$7-'الافتراضات'!$B$8))</f>
        <v/>
      </c>
    </row>
    <row r="145">
      <c r="A145" s="10" t="n">
        <v>144</v>
      </c>
      <c r="B145" s="11" t="inlineStr">
        <is>
          <t>الإضاءة والديكور</t>
        </is>
      </c>
      <c r="C145" s="11" t="inlineStr">
        <is>
          <t>نيون LED لافتة</t>
        </is>
      </c>
      <c r="D145" s="11" t="inlineStr">
        <is>
          <t>LED neon sign</t>
        </is>
      </c>
      <c r="E145" s="12" t="n">
        <v>102</v>
      </c>
      <c r="F145" s="10" t="inlineStr">
        <is>
          <t>تقدير</t>
        </is>
      </c>
      <c r="G145" s="10" t="inlineStr">
        <is>
          <t>تقدير</t>
        </is>
      </c>
      <c r="H145" s="10" t="inlineStr">
        <is>
          <t>لم تُفحص</t>
        </is>
      </c>
      <c r="I145" s="10" t="inlineStr">
        <is>
          <t>لم يُفحص</t>
        </is>
      </c>
      <c r="J145" s="13" t="n">
        <v>9</v>
      </c>
      <c r="K145" s="11" t="inlineStr">
        <is>
          <t>تقدير</t>
        </is>
      </c>
      <c r="L145" s="14" t="n">
        <v>0.7</v>
      </c>
      <c r="M145" s="10" t="inlineStr">
        <is>
          <t>متوسط</t>
        </is>
      </c>
      <c r="N145" s="11" t="inlineStr">
        <is>
          <t>طوال السنة</t>
        </is>
      </c>
      <c r="O145" s="11" t="inlineStr">
        <is>
          <t>SABER</t>
        </is>
      </c>
      <c r="P145" s="15" t="n">
        <v>0.14</v>
      </c>
      <c r="Q145" s="14" t="n">
        <v>10</v>
      </c>
      <c r="R145" s="14" t="n">
        <v>50</v>
      </c>
      <c r="S145" s="16">
        <f>J145*'الافتراضات'!$B$2*(1+'الافتراضات'!$B$3)</f>
        <v/>
      </c>
      <c r="T145" s="16">
        <f>L145*'الافتراضات'!$B$4</f>
        <v/>
      </c>
      <c r="U145" s="16">
        <f>(S145+T145)*'الافتراضات'!$B$5</f>
        <v/>
      </c>
      <c r="V145" s="16">
        <f>S145+T145+U145</f>
        <v/>
      </c>
      <c r="W145" s="16">
        <f>MAX(1,E145*P145)</f>
        <v/>
      </c>
      <c r="X145" s="16">
        <f>E145*'الافتراضات'!$B$7</f>
        <v/>
      </c>
      <c r="Y145" s="16">
        <f>E145*'الافتراضات'!$B$8</f>
        <v/>
      </c>
      <c r="Z145" s="16">
        <f>E145/(1+'الافتراضات'!$B$6)</f>
        <v/>
      </c>
      <c r="AA145" s="16">
        <f>Z145-V145-W145-Q145-X145-Y145</f>
        <v/>
      </c>
      <c r="AB145" s="17">
        <f>IF(Z145=0,0,AA145/Z145)</f>
        <v/>
      </c>
      <c r="AC145" s="17">
        <f>IF(V145=0,0,AA145/V145)</f>
        <v/>
      </c>
      <c r="AD145" s="18">
        <f>R145*V145</f>
        <v/>
      </c>
      <c r="AE145" s="16">
        <f>IF(AB145&gt;='الافتراضات'!$B$9,IF(O145="لا","ابدأ به","جيد – يحتاج شهادة"),IF(AB145&gt;='الافتراضات'!$B$10,"مقبول","ضعيف"))</f>
        <v/>
      </c>
      <c r="AF145" s="16">
        <f>IF((1-'الافتراضات'!$B$9)/(1+'الافتراضات'!$B$6)-P145-'الافتراضات'!$B$7-'الافتراضات'!$B$8&lt;=0,0,(V145+Q145)/((1-'الافتراضات'!$B$9)/(1+'الافتراضات'!$B$6)-P145-'الافتراضات'!$B$7-'الافتراضات'!$B$8))</f>
        <v/>
      </c>
    </row>
    <row r="146">
      <c r="A146" s="10" t="n">
        <v>145</v>
      </c>
      <c r="B146" s="11" t="inlineStr">
        <is>
          <t>السيارات والدراجات</t>
        </is>
      </c>
      <c r="C146" s="11" t="inlineStr">
        <is>
          <t>منفاخ إطارات يعمل بالولاعة</t>
        </is>
      </c>
      <c r="D146" s="11" t="inlineStr">
        <is>
          <t>12V tire inflator pump</t>
        </is>
      </c>
      <c r="E146" s="12" t="n">
        <v>91</v>
      </c>
      <c r="F146" s="10" t="inlineStr">
        <is>
          <t>تقدير</t>
        </is>
      </c>
      <c r="G146" s="10" t="inlineStr">
        <is>
          <t>تقدير</t>
        </is>
      </c>
      <c r="H146" s="10" t="inlineStr">
        <is>
          <t>لم تُفحص</t>
        </is>
      </c>
      <c r="I146" s="10" t="inlineStr">
        <is>
          <t>لم يُفحص</t>
        </is>
      </c>
      <c r="J146" s="13" t="n">
        <v>8</v>
      </c>
      <c r="K146" s="11" t="inlineStr">
        <is>
          <t>تقدير</t>
        </is>
      </c>
      <c r="L146" s="14" t="n">
        <v>1.2</v>
      </c>
      <c r="M146" s="10" t="inlineStr">
        <is>
          <t>متوسط</t>
        </is>
      </c>
      <c r="N146" s="11" t="inlineStr">
        <is>
          <t>طوال السنة</t>
        </is>
      </c>
      <c r="O146" s="11" t="inlineStr">
        <is>
          <t>SABER</t>
        </is>
      </c>
      <c r="P146" s="15" t="n">
        <v>0.06</v>
      </c>
      <c r="Q146" s="14" t="n">
        <v>11.5</v>
      </c>
      <c r="R146" s="14" t="n">
        <v>50</v>
      </c>
      <c r="S146" s="16">
        <f>J146*'الافتراضات'!$B$2*(1+'الافتراضات'!$B$3)</f>
        <v/>
      </c>
      <c r="T146" s="16">
        <f>L146*'الافتراضات'!$B$4</f>
        <v/>
      </c>
      <c r="U146" s="16">
        <f>(S146+T146)*'الافتراضات'!$B$5</f>
        <v/>
      </c>
      <c r="V146" s="16">
        <f>S146+T146+U146</f>
        <v/>
      </c>
      <c r="W146" s="16">
        <f>MAX(1,E146*P146)</f>
        <v/>
      </c>
      <c r="X146" s="16">
        <f>E146*'الافتراضات'!$B$7</f>
        <v/>
      </c>
      <c r="Y146" s="16">
        <f>E146*'الافتراضات'!$B$8</f>
        <v/>
      </c>
      <c r="Z146" s="16">
        <f>E146/(1+'الافتراضات'!$B$6)</f>
        <v/>
      </c>
      <c r="AA146" s="16">
        <f>Z146-V146-W146-Q146-X146-Y146</f>
        <v/>
      </c>
      <c r="AB146" s="17">
        <f>IF(Z146=0,0,AA146/Z146)</f>
        <v/>
      </c>
      <c r="AC146" s="17">
        <f>IF(V146=0,0,AA146/V146)</f>
        <v/>
      </c>
      <c r="AD146" s="18">
        <f>R146*V146</f>
        <v/>
      </c>
      <c r="AE146" s="16">
        <f>IF(AB146&gt;='الافتراضات'!$B$9,IF(O146="لا","ابدأ به","جيد – يحتاج شهادة"),IF(AB146&gt;='الافتراضات'!$B$10,"مقبول","ضعيف"))</f>
        <v/>
      </c>
      <c r="AF146" s="16">
        <f>IF((1-'الافتراضات'!$B$9)/(1+'الافتراضات'!$B$6)-P146-'الافتراضات'!$B$7-'الافتراضات'!$B$8&lt;=0,0,(V146+Q146)/((1-'الافتراضات'!$B$9)/(1+'الافتراضات'!$B$6)-P146-'الافتراضات'!$B$7-'الافتراضات'!$B$8))</f>
        <v/>
      </c>
    </row>
    <row r="147">
      <c r="A147" s="10" t="n">
        <v>146</v>
      </c>
      <c r="B147" s="11" t="inlineStr">
        <is>
          <t>التخييم والسفر</t>
        </is>
      </c>
      <c r="C147" s="11" t="inlineStr">
        <is>
          <t>خيمة تخييم لشخصين</t>
        </is>
      </c>
      <c r="D147" s="11" t="inlineStr">
        <is>
          <t>camping tent 2 person</t>
        </is>
      </c>
      <c r="E147" s="12" t="n">
        <v>249</v>
      </c>
      <c r="F147" s="10" t="inlineStr">
        <is>
          <t>تقدير</t>
        </is>
      </c>
      <c r="G147" s="10" t="inlineStr">
        <is>
          <t>تقدير</t>
        </is>
      </c>
      <c r="H147" s="10" t="inlineStr">
        <is>
          <t>لم تُفحص</t>
        </is>
      </c>
      <c r="I147" s="10" t="inlineStr">
        <is>
          <t>لم يُفحص</t>
        </is>
      </c>
      <c r="J147" s="13" t="n">
        <v>22</v>
      </c>
      <c r="K147" s="11" t="inlineStr">
        <is>
          <t>تقدير</t>
        </is>
      </c>
      <c r="L147" s="14" t="n">
        <v>3</v>
      </c>
      <c r="M147" s="10" t="inlineStr">
        <is>
          <t>كبير</t>
        </is>
      </c>
      <c r="N147" s="11" t="inlineStr">
        <is>
          <t>الشتاء والكشتات</t>
        </is>
      </c>
      <c r="O147" s="11" t="inlineStr">
        <is>
          <t>لا</t>
        </is>
      </c>
      <c r="P147" s="15" t="n">
        <v>0.13</v>
      </c>
      <c r="Q147" s="14" t="n">
        <v>16</v>
      </c>
      <c r="R147" s="14" t="n">
        <v>50</v>
      </c>
      <c r="S147" s="16">
        <f>J147*'الافتراضات'!$B$2*(1+'الافتراضات'!$B$3)</f>
        <v/>
      </c>
      <c r="T147" s="16">
        <f>L147*'الافتراضات'!$B$4</f>
        <v/>
      </c>
      <c r="U147" s="16">
        <f>(S147+T147)*'الافتراضات'!$B$5</f>
        <v/>
      </c>
      <c r="V147" s="16">
        <f>S147+T147+U147</f>
        <v/>
      </c>
      <c r="W147" s="16">
        <f>MAX(1,E147*P147)</f>
        <v/>
      </c>
      <c r="X147" s="16">
        <f>E147*'الافتراضات'!$B$7</f>
        <v/>
      </c>
      <c r="Y147" s="16">
        <f>E147*'الافتراضات'!$B$8</f>
        <v/>
      </c>
      <c r="Z147" s="16">
        <f>E147/(1+'الافتراضات'!$B$6)</f>
        <v/>
      </c>
      <c r="AA147" s="16">
        <f>Z147-V147-W147-Q147-X147-Y147</f>
        <v/>
      </c>
      <c r="AB147" s="17">
        <f>IF(Z147=0,0,AA147/Z147)</f>
        <v/>
      </c>
      <c r="AC147" s="17">
        <f>IF(V147=0,0,AA147/V147)</f>
        <v/>
      </c>
      <c r="AD147" s="18">
        <f>R147*V147</f>
        <v/>
      </c>
      <c r="AE147" s="16">
        <f>IF(AB147&gt;='الافتراضات'!$B$9,IF(O147="لا","ابدأ به","جيد – يحتاج شهادة"),IF(AB147&gt;='الافتراضات'!$B$10,"مقبول","ضعيف"))</f>
        <v/>
      </c>
      <c r="AF147" s="16">
        <f>IF((1-'الافتراضات'!$B$9)/(1+'الافتراضات'!$B$6)-P147-'الافتراضات'!$B$7-'الافتراضات'!$B$8&lt;=0,0,(V147+Q147)/((1-'الافتراضات'!$B$9)/(1+'الافتراضات'!$B$6)-P147-'الافتراضات'!$B$7-'الافتراضات'!$B$8))</f>
        <v/>
      </c>
    </row>
    <row r="148">
      <c r="A148" s="10" t="n">
        <v>147</v>
      </c>
      <c r="B148" s="11" t="inlineStr">
        <is>
          <t>المكتب والدراسة</t>
        </is>
      </c>
      <c r="C148" s="11" t="inlineStr">
        <is>
          <t>أقلام سبورة ملونة 12 لون</t>
        </is>
      </c>
      <c r="D148" s="11" t="inlineStr">
        <is>
          <t>dry erase markers colored set</t>
        </is>
      </c>
      <c r="E148" s="12" t="n">
        <v>25</v>
      </c>
      <c r="F148" s="10" t="inlineStr">
        <is>
          <t>تقدير</t>
        </is>
      </c>
      <c r="G148" s="10" t="inlineStr">
        <is>
          <t>تقدير</t>
        </is>
      </c>
      <c r="H148" s="10" t="inlineStr">
        <is>
          <t>لم تُفحص</t>
        </is>
      </c>
      <c r="I148" s="10" t="inlineStr">
        <is>
          <t>لم يُفحص</t>
        </is>
      </c>
      <c r="J148" s="13" t="n">
        <v>1.2</v>
      </c>
      <c r="K148" s="11" t="inlineStr">
        <is>
          <t>تقدير</t>
        </is>
      </c>
      <c r="L148" s="14" t="n">
        <v>0.2</v>
      </c>
      <c r="M148" s="10" t="inlineStr">
        <is>
          <t>صغير</t>
        </is>
      </c>
      <c r="N148" s="11" t="inlineStr">
        <is>
          <t>العودة للمدارس</t>
        </is>
      </c>
      <c r="O148" s="11" t="inlineStr">
        <is>
          <t>لا</t>
        </is>
      </c>
      <c r="P148" s="15" t="n">
        <v>0.12</v>
      </c>
      <c r="Q148" s="14" t="n">
        <v>7</v>
      </c>
      <c r="R148" s="14" t="n">
        <v>50</v>
      </c>
      <c r="S148" s="16">
        <f>J148*'الافتراضات'!$B$2*(1+'الافتراضات'!$B$3)</f>
        <v/>
      </c>
      <c r="T148" s="16">
        <f>L148*'الافتراضات'!$B$4</f>
        <v/>
      </c>
      <c r="U148" s="16">
        <f>(S148+T148)*'الافتراضات'!$B$5</f>
        <v/>
      </c>
      <c r="V148" s="16">
        <f>S148+T148+U148</f>
        <v/>
      </c>
      <c r="W148" s="16">
        <f>MAX(1,E148*P148)</f>
        <v/>
      </c>
      <c r="X148" s="16">
        <f>E148*'الافتراضات'!$B$7</f>
        <v/>
      </c>
      <c r="Y148" s="16">
        <f>E148*'الافتراضات'!$B$8</f>
        <v/>
      </c>
      <c r="Z148" s="16">
        <f>E148/(1+'الافتراضات'!$B$6)</f>
        <v/>
      </c>
      <c r="AA148" s="16">
        <f>Z148-V148-W148-Q148-X148-Y148</f>
        <v/>
      </c>
      <c r="AB148" s="17">
        <f>IF(Z148=0,0,AA148/Z148)</f>
        <v/>
      </c>
      <c r="AC148" s="17">
        <f>IF(V148=0,0,AA148/V148)</f>
        <v/>
      </c>
      <c r="AD148" s="18">
        <f>R148*V148</f>
        <v/>
      </c>
      <c r="AE148" s="16">
        <f>IF(AB148&gt;='الافتراضات'!$B$9,IF(O148="لا","ابدأ به","جيد – يحتاج شهادة"),IF(AB148&gt;='الافتراضات'!$B$10,"مقبول","ضعيف"))</f>
        <v/>
      </c>
      <c r="AF148" s="16">
        <f>IF((1-'الافتراضات'!$B$9)/(1+'الافتراضات'!$B$6)-P148-'الافتراضات'!$B$7-'الافتراضات'!$B$8&lt;=0,0,(V148+Q148)/((1-'الافتراضات'!$B$9)/(1+'الافتراضات'!$B$6)-P148-'الافتراضات'!$B$7-'الافتراضات'!$B$8))</f>
        <v/>
      </c>
    </row>
    <row r="149">
      <c r="A149" s="10" t="n">
        <v>148</v>
      </c>
      <c r="B149" s="11" t="inlineStr">
        <is>
          <t>المكتب والدراسة</t>
        </is>
      </c>
      <c r="C149" s="11" t="inlineStr">
        <is>
          <t>مسطرة وأدوات هندسية</t>
        </is>
      </c>
      <c r="D149" s="11" t="inlineStr">
        <is>
          <t>geometry set</t>
        </is>
      </c>
      <c r="E149" s="12" t="n">
        <v>25</v>
      </c>
      <c r="F149" s="10" t="inlineStr">
        <is>
          <t>تقدير</t>
        </is>
      </c>
      <c r="G149" s="10" t="inlineStr">
        <is>
          <t>تقدير</t>
        </is>
      </c>
      <c r="H149" s="10" t="inlineStr">
        <is>
          <t>لم تُفحص</t>
        </is>
      </c>
      <c r="I149" s="10" t="inlineStr">
        <is>
          <t>لم يُفحص</t>
        </is>
      </c>
      <c r="J149" s="13" t="n">
        <v>1.2</v>
      </c>
      <c r="K149" s="11" t="inlineStr">
        <is>
          <t>تقدير</t>
        </is>
      </c>
      <c r="L149" s="14" t="n">
        <v>0.2</v>
      </c>
      <c r="M149" s="10" t="inlineStr">
        <is>
          <t>صغير</t>
        </is>
      </c>
      <c r="N149" s="11" t="inlineStr">
        <is>
          <t>العودة للمدارس</t>
        </is>
      </c>
      <c r="O149" s="11" t="inlineStr">
        <is>
          <t>لا</t>
        </is>
      </c>
      <c r="P149" s="15" t="n">
        <v>0.12</v>
      </c>
      <c r="Q149" s="14" t="n">
        <v>7</v>
      </c>
      <c r="R149" s="14" t="n">
        <v>50</v>
      </c>
      <c r="S149" s="16">
        <f>J149*'الافتراضات'!$B$2*(1+'الافتراضات'!$B$3)</f>
        <v/>
      </c>
      <c r="T149" s="16">
        <f>L149*'الافتراضات'!$B$4</f>
        <v/>
      </c>
      <c r="U149" s="16">
        <f>(S149+T149)*'الافتراضات'!$B$5</f>
        <v/>
      </c>
      <c r="V149" s="16">
        <f>S149+T149+U149</f>
        <v/>
      </c>
      <c r="W149" s="16">
        <f>MAX(1,E149*P149)</f>
        <v/>
      </c>
      <c r="X149" s="16">
        <f>E149*'الافتراضات'!$B$7</f>
        <v/>
      </c>
      <c r="Y149" s="16">
        <f>E149*'الافتراضات'!$B$8</f>
        <v/>
      </c>
      <c r="Z149" s="16">
        <f>E149/(1+'الافتراضات'!$B$6)</f>
        <v/>
      </c>
      <c r="AA149" s="16">
        <f>Z149-V149-W149-Q149-X149-Y149</f>
        <v/>
      </c>
      <c r="AB149" s="17">
        <f>IF(Z149=0,0,AA149/Z149)</f>
        <v/>
      </c>
      <c r="AC149" s="17">
        <f>IF(V149=0,0,AA149/V149)</f>
        <v/>
      </c>
      <c r="AD149" s="18">
        <f>R149*V149</f>
        <v/>
      </c>
      <c r="AE149" s="16">
        <f>IF(AB149&gt;='الافتراضات'!$B$9,IF(O149="لا","ابدأ به","جيد – يحتاج شهادة"),IF(AB149&gt;='الافتراضات'!$B$10,"مقبول","ضعيف"))</f>
        <v/>
      </c>
      <c r="AF149" s="16">
        <f>IF((1-'الافتراضات'!$B$9)/(1+'الافتراضات'!$B$6)-P149-'الافتراضات'!$B$7-'الافتراضات'!$B$8&lt;=0,0,(V149+Q149)/((1-'الافتراضات'!$B$9)/(1+'الافتراضات'!$B$6)-P149-'الافتراضات'!$B$7-'الافتراضات'!$B$8))</f>
        <v/>
      </c>
    </row>
    <row r="150">
      <c r="A150" s="10" t="n">
        <v>149</v>
      </c>
      <c r="B150" s="11" t="inlineStr">
        <is>
          <t>الحيوانات الأليفة</t>
        </is>
      </c>
      <c r="C150" s="11" t="inlineStr">
        <is>
          <t>طوق كلاب LED</t>
        </is>
      </c>
      <c r="D150" s="11" t="inlineStr">
        <is>
          <t>dog collar LED</t>
        </is>
      </c>
      <c r="E150" s="12" t="n">
        <v>25</v>
      </c>
      <c r="F150" s="10" t="inlineStr">
        <is>
          <t>تقدير</t>
        </is>
      </c>
      <c r="G150" s="10" t="inlineStr">
        <is>
          <t>تقدير</t>
        </is>
      </c>
      <c r="H150" s="10" t="inlineStr">
        <is>
          <t>لم تُفحص</t>
        </is>
      </c>
      <c r="I150" s="10" t="inlineStr">
        <is>
          <t>لم يُفحص</t>
        </is>
      </c>
      <c r="J150" s="13" t="n">
        <v>1.5</v>
      </c>
      <c r="K150" s="11" t="inlineStr">
        <is>
          <t>تقدير</t>
        </is>
      </c>
      <c r="L150" s="14" t="n">
        <v>0.08</v>
      </c>
      <c r="M150" s="10" t="inlineStr">
        <is>
          <t>صغير</t>
        </is>
      </c>
      <c r="N150" s="11" t="inlineStr">
        <is>
          <t>طوال السنة</t>
        </is>
      </c>
      <c r="O150" s="11" t="inlineStr">
        <is>
          <t>SABER + بطارية ليثيوم</t>
        </is>
      </c>
      <c r="P150" s="15" t="n">
        <v>0.15</v>
      </c>
      <c r="Q150" s="14" t="n">
        <v>6</v>
      </c>
      <c r="R150" s="14" t="n">
        <v>50</v>
      </c>
      <c r="S150" s="16">
        <f>J150*'الافتراضات'!$B$2*(1+'الافتراضات'!$B$3)</f>
        <v/>
      </c>
      <c r="T150" s="16">
        <f>L150*'الافتراضات'!$B$4</f>
        <v/>
      </c>
      <c r="U150" s="16">
        <f>(S150+T150)*'الافتراضات'!$B$5</f>
        <v/>
      </c>
      <c r="V150" s="16">
        <f>S150+T150+U150</f>
        <v/>
      </c>
      <c r="W150" s="16">
        <f>MAX(1,E150*P150)</f>
        <v/>
      </c>
      <c r="X150" s="16">
        <f>E150*'الافتراضات'!$B$7</f>
        <v/>
      </c>
      <c r="Y150" s="16">
        <f>E150*'الافتراضات'!$B$8</f>
        <v/>
      </c>
      <c r="Z150" s="16">
        <f>E150/(1+'الافتراضات'!$B$6)</f>
        <v/>
      </c>
      <c r="AA150" s="16">
        <f>Z150-V150-W150-Q150-X150-Y150</f>
        <v/>
      </c>
      <c r="AB150" s="17">
        <f>IF(Z150=0,0,AA150/Z150)</f>
        <v/>
      </c>
      <c r="AC150" s="17">
        <f>IF(V150=0,0,AA150/V150)</f>
        <v/>
      </c>
      <c r="AD150" s="18">
        <f>R150*V150</f>
        <v/>
      </c>
      <c r="AE150" s="16">
        <f>IF(AB150&gt;='الافتراضات'!$B$9,IF(O150="لا","ابدأ به","جيد – يحتاج شهادة"),IF(AB150&gt;='الافتراضات'!$B$10,"مقبول","ضعيف"))</f>
        <v/>
      </c>
      <c r="AF150" s="16">
        <f>IF((1-'الافتراضات'!$B$9)/(1+'الافتراضات'!$B$6)-P150-'الافتراضات'!$B$7-'الافتراضات'!$B$8&lt;=0,0,(V150+Q150)/((1-'الافتراضات'!$B$9)/(1+'الافتراضات'!$B$6)-P150-'الافتراضات'!$B$7-'الافتراضات'!$B$8))</f>
        <v/>
      </c>
    </row>
    <row r="151">
      <c r="A151" s="10" t="n">
        <v>150</v>
      </c>
      <c r="B151" s="11" t="inlineStr">
        <is>
          <t>المنزل والمطبخ</t>
        </is>
      </c>
      <c r="C151" s="11" t="inlineStr">
        <is>
          <t>ثلج مولد قوالب سيليكون</t>
        </is>
      </c>
      <c r="D151" s="11" t="inlineStr">
        <is>
          <t>silicone ice cube tray lid</t>
        </is>
      </c>
      <c r="E151" s="12" t="n">
        <v>25</v>
      </c>
      <c r="F151" s="10" t="inlineStr">
        <is>
          <t>تقدير</t>
        </is>
      </c>
      <c r="G151" s="10" t="inlineStr">
        <is>
          <t>تقدير</t>
        </is>
      </c>
      <c r="H151" s="10" t="inlineStr">
        <is>
          <t>لم تُفحص</t>
        </is>
      </c>
      <c r="I151" s="10" t="inlineStr">
        <is>
          <t>لم يُفحص</t>
        </is>
      </c>
      <c r="J151" s="13" t="n">
        <v>1</v>
      </c>
      <c r="K151" s="11" t="inlineStr">
        <is>
          <t>تقدير</t>
        </is>
      </c>
      <c r="L151" s="14" t="n">
        <v>0.25</v>
      </c>
      <c r="M151" s="10" t="inlineStr">
        <is>
          <t>صغير</t>
        </is>
      </c>
      <c r="N151" s="11" t="inlineStr">
        <is>
          <t>طوال السنة</t>
        </is>
      </c>
      <c r="O151" s="11" t="inlineStr">
        <is>
          <t>ملامس للغذاء (SFDA)</t>
        </is>
      </c>
      <c r="P151" s="15" t="n">
        <v>0.14</v>
      </c>
      <c r="Q151" s="14" t="n">
        <v>7</v>
      </c>
      <c r="R151" s="14" t="n">
        <v>50</v>
      </c>
      <c r="S151" s="16">
        <f>J151*'الافتراضات'!$B$2*(1+'الافتراضات'!$B$3)</f>
        <v/>
      </c>
      <c r="T151" s="16">
        <f>L151*'الافتراضات'!$B$4</f>
        <v/>
      </c>
      <c r="U151" s="16">
        <f>(S151+T151)*'الافتراضات'!$B$5</f>
        <v/>
      </c>
      <c r="V151" s="16">
        <f>S151+T151+U151</f>
        <v/>
      </c>
      <c r="W151" s="16">
        <f>MAX(1,E151*P151)</f>
        <v/>
      </c>
      <c r="X151" s="16">
        <f>E151*'الافتراضات'!$B$7</f>
        <v/>
      </c>
      <c r="Y151" s="16">
        <f>E151*'الافتراضات'!$B$8</f>
        <v/>
      </c>
      <c r="Z151" s="16">
        <f>E151/(1+'الافتراضات'!$B$6)</f>
        <v/>
      </c>
      <c r="AA151" s="16">
        <f>Z151-V151-W151-Q151-X151-Y151</f>
        <v/>
      </c>
      <c r="AB151" s="17">
        <f>IF(Z151=0,0,AA151/Z151)</f>
        <v/>
      </c>
      <c r="AC151" s="17">
        <f>IF(V151=0,0,AA151/V151)</f>
        <v/>
      </c>
      <c r="AD151" s="18">
        <f>R151*V151</f>
        <v/>
      </c>
      <c r="AE151" s="16">
        <f>IF(AB151&gt;='الافتراضات'!$B$9,IF(O151="لا","ابدأ به","جيد – يحتاج شهادة"),IF(AB151&gt;='الافتراضات'!$B$10,"مقبول","ضعيف"))</f>
        <v/>
      </c>
      <c r="AF151" s="16">
        <f>IF((1-'الافتراضات'!$B$9)/(1+'الافتراضات'!$B$6)-P151-'الافتراضات'!$B$7-'الافتراضات'!$B$8&lt;=0,0,(V151+Q151)/((1-'الافتراضات'!$B$9)/(1+'الافتراضات'!$B$6)-P151-'الافتراضات'!$B$7-'الافتراضات'!$B$8))</f>
        <v/>
      </c>
    </row>
    <row r="152">
      <c r="A152" s="10" t="n">
        <v>151</v>
      </c>
      <c r="B152" s="11" t="inlineStr">
        <is>
          <t>المنزل والمطبخ</t>
        </is>
      </c>
      <c r="C152" s="11" t="inlineStr">
        <is>
          <t>جهاز تعقيم الهواتف UV</t>
        </is>
      </c>
      <c r="D152" s="11" t="inlineStr">
        <is>
          <t>UV sanitizer box phone</t>
        </is>
      </c>
      <c r="E152" s="12" t="n">
        <v>91</v>
      </c>
      <c r="F152" s="10" t="inlineStr">
        <is>
          <t>تقدير</t>
        </is>
      </c>
      <c r="G152" s="10" t="inlineStr">
        <is>
          <t>تقدير</t>
        </is>
      </c>
      <c r="H152" s="10" t="inlineStr">
        <is>
          <t>لم تُفحص</t>
        </is>
      </c>
      <c r="I152" s="10" t="inlineStr">
        <is>
          <t>لم يُفحص</t>
        </is>
      </c>
      <c r="J152" s="13" t="n">
        <v>8</v>
      </c>
      <c r="K152" s="11" t="inlineStr">
        <is>
          <t>تقدير</t>
        </is>
      </c>
      <c r="L152" s="14" t="n">
        <v>0.5</v>
      </c>
      <c r="M152" s="10" t="inlineStr">
        <is>
          <t>متوسط</t>
        </is>
      </c>
      <c r="N152" s="11" t="inlineStr">
        <is>
          <t>طوال السنة</t>
        </is>
      </c>
      <c r="O152" s="11" t="inlineStr">
        <is>
          <t>SABER + بطارية ليثيوم</t>
        </is>
      </c>
      <c r="P152" s="15" t="n">
        <v>0.15</v>
      </c>
      <c r="Q152" s="14" t="n">
        <v>9.5</v>
      </c>
      <c r="R152" s="14" t="n">
        <v>50</v>
      </c>
      <c r="S152" s="16">
        <f>J152*'الافتراضات'!$B$2*(1+'الافتراضات'!$B$3)</f>
        <v/>
      </c>
      <c r="T152" s="16">
        <f>L152*'الافتراضات'!$B$4</f>
        <v/>
      </c>
      <c r="U152" s="16">
        <f>(S152+T152)*'الافتراضات'!$B$5</f>
        <v/>
      </c>
      <c r="V152" s="16">
        <f>S152+T152+U152</f>
        <v/>
      </c>
      <c r="W152" s="16">
        <f>MAX(1,E152*P152)</f>
        <v/>
      </c>
      <c r="X152" s="16">
        <f>E152*'الافتراضات'!$B$7</f>
        <v/>
      </c>
      <c r="Y152" s="16">
        <f>E152*'الافتراضات'!$B$8</f>
        <v/>
      </c>
      <c r="Z152" s="16">
        <f>E152/(1+'الافتراضات'!$B$6)</f>
        <v/>
      </c>
      <c r="AA152" s="16">
        <f>Z152-V152-W152-Q152-X152-Y152</f>
        <v/>
      </c>
      <c r="AB152" s="17">
        <f>IF(Z152=0,0,AA152/Z152)</f>
        <v/>
      </c>
      <c r="AC152" s="17">
        <f>IF(V152=0,0,AA152/V152)</f>
        <v/>
      </c>
      <c r="AD152" s="18">
        <f>R152*V152</f>
        <v/>
      </c>
      <c r="AE152" s="16">
        <f>IF(AB152&gt;='الافتراضات'!$B$9,IF(O152="لا","ابدأ به","جيد – يحتاج شهادة"),IF(AB152&gt;='الافتراضات'!$B$10,"مقبول","ضعيف"))</f>
        <v/>
      </c>
      <c r="AF152" s="16">
        <f>IF((1-'الافتراضات'!$B$9)/(1+'الافتراضات'!$B$6)-P152-'الافتراضات'!$B$7-'الافتراضات'!$B$8&lt;=0,0,(V152+Q152)/((1-'الافتراضات'!$B$9)/(1+'الافتراضات'!$B$6)-P152-'الافتراضات'!$B$7-'الافتراضات'!$B$8))</f>
        <v/>
      </c>
    </row>
    <row r="153">
      <c r="A153" s="10" t="n">
        <v>152</v>
      </c>
      <c r="B153" s="11" t="inlineStr">
        <is>
          <t>رمضان والمناسبات</t>
        </is>
      </c>
      <c r="C153" s="11" t="inlineStr">
        <is>
          <t>بطاقات تهنئة العيد</t>
        </is>
      </c>
      <c r="D153" s="11" t="inlineStr">
        <is>
          <t>eid greeting cards pack</t>
        </is>
      </c>
      <c r="E153" s="12" t="n">
        <v>25</v>
      </c>
      <c r="F153" s="10" t="inlineStr">
        <is>
          <t>تقدير</t>
        </is>
      </c>
      <c r="G153" s="10" t="inlineStr">
        <is>
          <t>تقدير</t>
        </is>
      </c>
      <c r="H153" s="10" t="inlineStr">
        <is>
          <t>لم تُفحص</t>
        </is>
      </c>
      <c r="I153" s="10" t="inlineStr">
        <is>
          <t>لم يُفحص</t>
        </is>
      </c>
      <c r="J153" s="13" t="n">
        <v>1.2</v>
      </c>
      <c r="K153" s="11" t="inlineStr">
        <is>
          <t>تقدير</t>
        </is>
      </c>
      <c r="L153" s="14" t="n">
        <v>0.15</v>
      </c>
      <c r="M153" s="10" t="inlineStr">
        <is>
          <t>صغير</t>
        </is>
      </c>
      <c r="N153" s="11" t="inlineStr">
        <is>
          <t>رمضان والمناسبات</t>
        </is>
      </c>
      <c r="O153" s="11" t="inlineStr">
        <is>
          <t>لا</t>
        </is>
      </c>
      <c r="P153" s="15" t="n">
        <v>0.14</v>
      </c>
      <c r="Q153" s="14" t="n">
        <v>7</v>
      </c>
      <c r="R153" s="14" t="n">
        <v>50</v>
      </c>
      <c r="S153" s="16">
        <f>J153*'الافتراضات'!$B$2*(1+'الافتراضات'!$B$3)</f>
        <v/>
      </c>
      <c r="T153" s="16">
        <f>L153*'الافتراضات'!$B$4</f>
        <v/>
      </c>
      <c r="U153" s="16">
        <f>(S153+T153)*'الافتراضات'!$B$5</f>
        <v/>
      </c>
      <c r="V153" s="16">
        <f>S153+T153+U153</f>
        <v/>
      </c>
      <c r="W153" s="16">
        <f>MAX(1,E153*P153)</f>
        <v/>
      </c>
      <c r="X153" s="16">
        <f>E153*'الافتراضات'!$B$7</f>
        <v/>
      </c>
      <c r="Y153" s="16">
        <f>E153*'الافتراضات'!$B$8</f>
        <v/>
      </c>
      <c r="Z153" s="16">
        <f>E153/(1+'الافتراضات'!$B$6)</f>
        <v/>
      </c>
      <c r="AA153" s="16">
        <f>Z153-V153-W153-Q153-X153-Y153</f>
        <v/>
      </c>
      <c r="AB153" s="17">
        <f>IF(Z153=0,0,AA153/Z153)</f>
        <v/>
      </c>
      <c r="AC153" s="17">
        <f>IF(V153=0,0,AA153/V153)</f>
        <v/>
      </c>
      <c r="AD153" s="18">
        <f>R153*V153</f>
        <v/>
      </c>
      <c r="AE153" s="16">
        <f>IF(AB153&gt;='الافتراضات'!$B$9,IF(O153="لا","ابدأ به","جيد – يحتاج شهادة"),IF(AB153&gt;='الافتراضات'!$B$10,"مقبول","ضعيف"))</f>
        <v/>
      </c>
      <c r="AF153" s="16">
        <f>IF((1-'الافتراضات'!$B$9)/(1+'الافتراضات'!$B$6)-P153-'الافتراضات'!$B$7-'الافتراضات'!$B$8&lt;=0,0,(V153+Q153)/((1-'الافتراضات'!$B$9)/(1+'الافتراضات'!$B$6)-P153-'الافتراضات'!$B$7-'الافتراضات'!$B$8))</f>
        <v/>
      </c>
    </row>
    <row r="154">
      <c r="A154" s="10" t="n">
        <v>153</v>
      </c>
      <c r="B154" s="11" t="inlineStr">
        <is>
          <t>إكسسوارات الجوال والإلكترونيات</t>
        </is>
      </c>
      <c r="C154" s="11" t="inlineStr">
        <is>
          <t>سماعة أذن مفتوحة</t>
        </is>
      </c>
      <c r="D154" s="11" t="inlineStr">
        <is>
          <t>open ear bluetooth earbuds</t>
        </is>
      </c>
      <c r="E154" s="12" t="n">
        <v>102</v>
      </c>
      <c r="F154" s="10" t="inlineStr">
        <is>
          <t>تقدير</t>
        </is>
      </c>
      <c r="G154" s="10" t="inlineStr">
        <is>
          <t>تقدير</t>
        </is>
      </c>
      <c r="H154" s="10" t="inlineStr">
        <is>
          <t>لم تُفحص</t>
        </is>
      </c>
      <c r="I154" s="10" t="inlineStr">
        <is>
          <t>لم يُفحص</t>
        </is>
      </c>
      <c r="J154" s="13" t="n">
        <v>9</v>
      </c>
      <c r="K154" s="11" t="inlineStr">
        <is>
          <t>تقدير</t>
        </is>
      </c>
      <c r="L154" s="14" t="n">
        <v>0.15</v>
      </c>
      <c r="M154" s="10" t="inlineStr">
        <is>
          <t>صغير</t>
        </is>
      </c>
      <c r="N154" s="11" t="inlineStr">
        <is>
          <t>طوال السنة</t>
        </is>
      </c>
      <c r="O154" s="11" t="inlineStr">
        <is>
          <t>SABER + بطارية ليثيوم</t>
        </is>
      </c>
      <c r="P154" s="15" t="n">
        <v>0.2</v>
      </c>
      <c r="Q154" s="14" t="n">
        <v>9</v>
      </c>
      <c r="R154" s="14" t="n">
        <v>50</v>
      </c>
      <c r="S154" s="16">
        <f>J154*'الافتراضات'!$B$2*(1+'الافتراضات'!$B$3)</f>
        <v/>
      </c>
      <c r="T154" s="16">
        <f>L154*'الافتراضات'!$B$4</f>
        <v/>
      </c>
      <c r="U154" s="16">
        <f>(S154+T154)*'الافتراضات'!$B$5</f>
        <v/>
      </c>
      <c r="V154" s="16">
        <f>S154+T154+U154</f>
        <v/>
      </c>
      <c r="W154" s="16">
        <f>MAX(1,E154*P154)</f>
        <v/>
      </c>
      <c r="X154" s="16">
        <f>E154*'الافتراضات'!$B$7</f>
        <v/>
      </c>
      <c r="Y154" s="16">
        <f>E154*'الافتراضات'!$B$8</f>
        <v/>
      </c>
      <c r="Z154" s="16">
        <f>E154/(1+'الافتراضات'!$B$6)</f>
        <v/>
      </c>
      <c r="AA154" s="16">
        <f>Z154-V154-W154-Q154-X154-Y154</f>
        <v/>
      </c>
      <c r="AB154" s="17">
        <f>IF(Z154=0,0,AA154/Z154)</f>
        <v/>
      </c>
      <c r="AC154" s="17">
        <f>IF(V154=0,0,AA154/V154)</f>
        <v/>
      </c>
      <c r="AD154" s="18">
        <f>R154*V154</f>
        <v/>
      </c>
      <c r="AE154" s="16">
        <f>IF(AB154&gt;='الافتراضات'!$B$9,IF(O154="لا","ابدأ به","جيد – يحتاج شهادة"),IF(AB154&gt;='الافتراضات'!$B$10,"مقبول","ضعيف"))</f>
        <v/>
      </c>
      <c r="AF154" s="16">
        <f>IF((1-'الافتراضات'!$B$9)/(1+'الافتراضات'!$B$6)-P154-'الافتراضات'!$B$7-'الافتراضات'!$B$8&lt;=0,0,(V154+Q154)/((1-'الافتراضات'!$B$9)/(1+'الافتراضات'!$B$6)-P154-'الافتراضات'!$B$7-'الافتراضات'!$B$8))</f>
        <v/>
      </c>
    </row>
    <row r="155">
      <c r="A155" s="10" t="n">
        <v>154</v>
      </c>
      <c r="B155" s="11" t="inlineStr">
        <is>
          <t>المنزل والمطبخ</t>
        </is>
      </c>
      <c r="C155" s="11" t="inlineStr">
        <is>
          <t>خطافات لاصقة قوية 24 حبة</t>
        </is>
      </c>
      <c r="D155" s="11" t="inlineStr">
        <is>
          <t>adhesive hooks heavy duty 24 pack</t>
        </is>
      </c>
      <c r="E155" s="12" t="n">
        <v>25</v>
      </c>
      <c r="F155" s="10" t="inlineStr">
        <is>
          <t>تقدير</t>
        </is>
      </c>
      <c r="G155" s="10" t="inlineStr">
        <is>
          <t>تقدير</t>
        </is>
      </c>
      <c r="H155" s="10" t="inlineStr">
        <is>
          <t>لم تُفحص</t>
        </is>
      </c>
      <c r="I155" s="10" t="inlineStr">
        <is>
          <t>لم يُفحص</t>
        </is>
      </c>
      <c r="J155" s="13" t="n">
        <v>0.8</v>
      </c>
      <c r="K155" s="11" t="inlineStr">
        <is>
          <t>تقدير</t>
        </is>
      </c>
      <c r="L155" s="14" t="n">
        <v>0.3</v>
      </c>
      <c r="M155" s="10" t="inlineStr">
        <is>
          <t>صغير</t>
        </is>
      </c>
      <c r="N155" s="11" t="inlineStr">
        <is>
          <t>طوال السنة</t>
        </is>
      </c>
      <c r="O155" s="11" t="inlineStr">
        <is>
          <t>لا</t>
        </is>
      </c>
      <c r="P155" s="15" t="n">
        <v>0.14</v>
      </c>
      <c r="Q155" s="14" t="n">
        <v>7.5</v>
      </c>
      <c r="R155" s="14" t="n">
        <v>50</v>
      </c>
      <c r="S155" s="16">
        <f>J155*'الافتراضات'!$B$2*(1+'الافتراضات'!$B$3)</f>
        <v/>
      </c>
      <c r="T155" s="16">
        <f>L155*'الافتراضات'!$B$4</f>
        <v/>
      </c>
      <c r="U155" s="16">
        <f>(S155+T155)*'الافتراضات'!$B$5</f>
        <v/>
      </c>
      <c r="V155" s="16">
        <f>S155+T155+U155</f>
        <v/>
      </c>
      <c r="W155" s="16">
        <f>MAX(1,E155*P155)</f>
        <v/>
      </c>
      <c r="X155" s="16">
        <f>E155*'الافتراضات'!$B$7</f>
        <v/>
      </c>
      <c r="Y155" s="16">
        <f>E155*'الافتراضات'!$B$8</f>
        <v/>
      </c>
      <c r="Z155" s="16">
        <f>E155/(1+'الافتراضات'!$B$6)</f>
        <v/>
      </c>
      <c r="AA155" s="16">
        <f>Z155-V155-W155-Q155-X155-Y155</f>
        <v/>
      </c>
      <c r="AB155" s="17">
        <f>IF(Z155=0,0,AA155/Z155)</f>
        <v/>
      </c>
      <c r="AC155" s="17">
        <f>IF(V155=0,0,AA155/V155)</f>
        <v/>
      </c>
      <c r="AD155" s="18">
        <f>R155*V155</f>
        <v/>
      </c>
      <c r="AE155" s="16">
        <f>IF(AB155&gt;='الافتراضات'!$B$9,IF(O155="لا","ابدأ به","جيد – يحتاج شهادة"),IF(AB155&gt;='الافتراضات'!$B$10,"مقبول","ضعيف"))</f>
        <v/>
      </c>
      <c r="AF155" s="16">
        <f>IF((1-'الافتراضات'!$B$9)/(1+'الافتراضات'!$B$6)-P155-'الافتراضات'!$B$7-'الافتراضات'!$B$8&lt;=0,0,(V155+Q155)/((1-'الافتراضات'!$B$9)/(1+'الافتراضات'!$B$6)-P155-'الافتراضات'!$B$7-'الافتراضات'!$B$8))</f>
        <v/>
      </c>
    </row>
    <row r="156">
      <c r="A156" s="10" t="n">
        <v>155</v>
      </c>
      <c r="B156" s="11" t="inlineStr">
        <is>
          <t>إكسسوارات الجوال والإلكترونيات</t>
        </is>
      </c>
      <c r="C156" s="11" t="inlineStr">
        <is>
          <t>واقي شاشة زجاجي للتابلت</t>
        </is>
      </c>
      <c r="D156" s="11" t="inlineStr">
        <is>
          <t>tablet tempered glass 10 inch</t>
        </is>
      </c>
      <c r="E156" s="12" t="n">
        <v>25</v>
      </c>
      <c r="F156" s="10" t="inlineStr">
        <is>
          <t>تقدير</t>
        </is>
      </c>
      <c r="G156" s="10" t="inlineStr">
        <is>
          <t>تقدير</t>
        </is>
      </c>
      <c r="H156" s="10" t="inlineStr">
        <is>
          <t>لم تُفحص</t>
        </is>
      </c>
      <c r="I156" s="10" t="inlineStr">
        <is>
          <t>لم يُفحص</t>
        </is>
      </c>
      <c r="J156" s="13" t="n">
        <v>1.2</v>
      </c>
      <c r="K156" s="11" t="inlineStr">
        <is>
          <t>تقدير</t>
        </is>
      </c>
      <c r="L156" s="14" t="n">
        <v>0.1</v>
      </c>
      <c r="M156" s="10" t="inlineStr">
        <is>
          <t>صغير</t>
        </is>
      </c>
      <c r="N156" s="11" t="inlineStr">
        <is>
          <t>طوال السنة</t>
        </is>
      </c>
      <c r="O156" s="11" t="inlineStr">
        <is>
          <t>لا</t>
        </is>
      </c>
      <c r="P156" s="15" t="n">
        <v>0.2</v>
      </c>
      <c r="Q156" s="14" t="n">
        <v>6</v>
      </c>
      <c r="R156" s="14" t="n">
        <v>50</v>
      </c>
      <c r="S156" s="16">
        <f>J156*'الافتراضات'!$B$2*(1+'الافتراضات'!$B$3)</f>
        <v/>
      </c>
      <c r="T156" s="16">
        <f>L156*'الافتراضات'!$B$4</f>
        <v/>
      </c>
      <c r="U156" s="16">
        <f>(S156+T156)*'الافتراضات'!$B$5</f>
        <v/>
      </c>
      <c r="V156" s="16">
        <f>S156+T156+U156</f>
        <v/>
      </c>
      <c r="W156" s="16">
        <f>MAX(1,E156*P156)</f>
        <v/>
      </c>
      <c r="X156" s="16">
        <f>E156*'الافتراضات'!$B$7</f>
        <v/>
      </c>
      <c r="Y156" s="16">
        <f>E156*'الافتراضات'!$B$8</f>
        <v/>
      </c>
      <c r="Z156" s="16">
        <f>E156/(1+'الافتراضات'!$B$6)</f>
        <v/>
      </c>
      <c r="AA156" s="16">
        <f>Z156-V156-W156-Q156-X156-Y156</f>
        <v/>
      </c>
      <c r="AB156" s="17">
        <f>IF(Z156=0,0,AA156/Z156)</f>
        <v/>
      </c>
      <c r="AC156" s="17">
        <f>IF(V156=0,0,AA156/V156)</f>
        <v/>
      </c>
      <c r="AD156" s="18">
        <f>R156*V156</f>
        <v/>
      </c>
      <c r="AE156" s="16">
        <f>IF(AB156&gt;='الافتراضات'!$B$9,IF(O156="لا","ابدأ به","جيد – يحتاج شهادة"),IF(AB156&gt;='الافتراضات'!$B$10,"مقبول","ضعيف"))</f>
        <v/>
      </c>
      <c r="AF156" s="16">
        <f>IF((1-'الافتراضات'!$B$9)/(1+'الافتراضات'!$B$6)-P156-'الافتراضات'!$B$7-'الافتراضات'!$B$8&lt;=0,0,(V156+Q156)/((1-'الافتراضات'!$B$9)/(1+'الافتراضات'!$B$6)-P156-'الافتراضات'!$B$7-'الافتراضات'!$B$8))</f>
        <v/>
      </c>
    </row>
    <row r="157">
      <c r="A157" s="10" t="n">
        <v>156</v>
      </c>
      <c r="B157" s="11" t="inlineStr">
        <is>
          <t>الحقائب والسفر</t>
        </is>
      </c>
      <c r="C157" s="11" t="inlineStr">
        <is>
          <t>حامل أمتعة</t>
        </is>
      </c>
      <c r="D157" s="11" t="inlineStr">
        <is>
          <t>luggage strap belt</t>
        </is>
      </c>
      <c r="E157" s="12" t="n">
        <v>25</v>
      </c>
      <c r="F157" s="10" t="inlineStr">
        <is>
          <t>تقدير</t>
        </is>
      </c>
      <c r="G157" s="10" t="inlineStr">
        <is>
          <t>تقدير</t>
        </is>
      </c>
      <c r="H157" s="10" t="inlineStr">
        <is>
          <t>لم تُفحص</t>
        </is>
      </c>
      <c r="I157" s="10" t="inlineStr">
        <is>
          <t>لم يُفحص</t>
        </is>
      </c>
      <c r="J157" s="13" t="n">
        <v>1.2</v>
      </c>
      <c r="K157" s="11" t="inlineStr">
        <is>
          <t>تقدير</t>
        </is>
      </c>
      <c r="L157" s="14" t="n">
        <v>0.1</v>
      </c>
      <c r="M157" s="10" t="inlineStr">
        <is>
          <t>صغير</t>
        </is>
      </c>
      <c r="N157" s="11" t="inlineStr">
        <is>
          <t>طوال السنة</t>
        </is>
      </c>
      <c r="O157" s="11" t="inlineStr">
        <is>
          <t>لا</t>
        </is>
      </c>
      <c r="P157" s="15" t="n">
        <v>0.2</v>
      </c>
      <c r="Q157" s="14" t="n">
        <v>6</v>
      </c>
      <c r="R157" s="14" t="n">
        <v>50</v>
      </c>
      <c r="S157" s="16">
        <f>J157*'الافتراضات'!$B$2*(1+'الافتراضات'!$B$3)</f>
        <v/>
      </c>
      <c r="T157" s="16">
        <f>L157*'الافتراضات'!$B$4</f>
        <v/>
      </c>
      <c r="U157" s="16">
        <f>(S157+T157)*'الافتراضات'!$B$5</f>
        <v/>
      </c>
      <c r="V157" s="16">
        <f>S157+T157+U157</f>
        <v/>
      </c>
      <c r="W157" s="16">
        <f>MAX(1,E157*P157)</f>
        <v/>
      </c>
      <c r="X157" s="16">
        <f>E157*'الافتراضات'!$B$7</f>
        <v/>
      </c>
      <c r="Y157" s="16">
        <f>E157*'الافتراضات'!$B$8</f>
        <v/>
      </c>
      <c r="Z157" s="16">
        <f>E157/(1+'الافتراضات'!$B$6)</f>
        <v/>
      </c>
      <c r="AA157" s="16">
        <f>Z157-V157-W157-Q157-X157-Y157</f>
        <v/>
      </c>
      <c r="AB157" s="17">
        <f>IF(Z157=0,0,AA157/Z157)</f>
        <v/>
      </c>
      <c r="AC157" s="17">
        <f>IF(V157=0,0,AA157/V157)</f>
        <v/>
      </c>
      <c r="AD157" s="18">
        <f>R157*V157</f>
        <v/>
      </c>
      <c r="AE157" s="16">
        <f>IF(AB157&gt;='الافتراضات'!$B$9,IF(O157="لا","ابدأ به","جيد – يحتاج شهادة"),IF(AB157&gt;='الافتراضات'!$B$10,"مقبول","ضعيف"))</f>
        <v/>
      </c>
      <c r="AF157" s="16">
        <f>IF((1-'الافتراضات'!$B$9)/(1+'الافتراضات'!$B$6)-P157-'الافتراضات'!$B$7-'الافتراضات'!$B$8&lt;=0,0,(V157+Q157)/((1-'الافتراضات'!$B$9)/(1+'الافتراضات'!$B$6)-P157-'الافتراضات'!$B$7-'الافتراضات'!$B$8))</f>
        <v/>
      </c>
    </row>
    <row r="158">
      <c r="A158" s="10" t="n">
        <v>157</v>
      </c>
      <c r="B158" s="11" t="inlineStr">
        <is>
          <t>إكسسوارات الجوال والإلكترونيات</t>
        </is>
      </c>
      <c r="C158" s="11" t="inlineStr">
        <is>
          <t>سوار صحي ذكي</t>
        </is>
      </c>
      <c r="D158" s="11" t="inlineStr">
        <is>
          <t>smart band fitness tracker</t>
        </is>
      </c>
      <c r="E158" s="12" t="n">
        <v>57</v>
      </c>
      <c r="F158" s="10" t="inlineStr">
        <is>
          <t>تقدير</t>
        </is>
      </c>
      <c r="G158" s="10" t="inlineStr">
        <is>
          <t>تقدير</t>
        </is>
      </c>
      <c r="H158" s="10" t="inlineStr">
        <is>
          <t>لم تُفحص</t>
        </is>
      </c>
      <c r="I158" s="10" t="inlineStr">
        <is>
          <t>لم يُفحص</t>
        </is>
      </c>
      <c r="J158" s="13" t="n">
        <v>5</v>
      </c>
      <c r="K158" s="11" t="inlineStr">
        <is>
          <t>تقدير</t>
        </is>
      </c>
      <c r="L158" s="14" t="n">
        <v>0.1</v>
      </c>
      <c r="M158" s="10" t="inlineStr">
        <is>
          <t>صغير</t>
        </is>
      </c>
      <c r="N158" s="11" t="inlineStr">
        <is>
          <t>طوال السنة</t>
        </is>
      </c>
      <c r="O158" s="11" t="inlineStr">
        <is>
          <t>SABER + بطارية ليثيوم</t>
        </is>
      </c>
      <c r="P158" s="15" t="n">
        <v>0.15</v>
      </c>
      <c r="Q158" s="14" t="n">
        <v>8</v>
      </c>
      <c r="R158" s="14" t="n">
        <v>50</v>
      </c>
      <c r="S158" s="16">
        <f>J158*'الافتراضات'!$B$2*(1+'الافتراضات'!$B$3)</f>
        <v/>
      </c>
      <c r="T158" s="16">
        <f>L158*'الافتراضات'!$B$4</f>
        <v/>
      </c>
      <c r="U158" s="16">
        <f>(S158+T158)*'الافتراضات'!$B$5</f>
        <v/>
      </c>
      <c r="V158" s="16">
        <f>S158+T158+U158</f>
        <v/>
      </c>
      <c r="W158" s="16">
        <f>MAX(1,E158*P158)</f>
        <v/>
      </c>
      <c r="X158" s="16">
        <f>E158*'الافتراضات'!$B$7</f>
        <v/>
      </c>
      <c r="Y158" s="16">
        <f>E158*'الافتراضات'!$B$8</f>
        <v/>
      </c>
      <c r="Z158" s="16">
        <f>E158/(1+'الافتراضات'!$B$6)</f>
        <v/>
      </c>
      <c r="AA158" s="16">
        <f>Z158-V158-W158-Q158-X158-Y158</f>
        <v/>
      </c>
      <c r="AB158" s="17">
        <f>IF(Z158=0,0,AA158/Z158)</f>
        <v/>
      </c>
      <c r="AC158" s="17">
        <f>IF(V158=0,0,AA158/V158)</f>
        <v/>
      </c>
      <c r="AD158" s="18">
        <f>R158*V158</f>
        <v/>
      </c>
      <c r="AE158" s="16">
        <f>IF(AB158&gt;='الافتراضات'!$B$9,IF(O158="لا","ابدأ به","جيد – يحتاج شهادة"),IF(AB158&gt;='الافتراضات'!$B$10,"مقبول","ضعيف"))</f>
        <v/>
      </c>
      <c r="AF158" s="16">
        <f>IF((1-'الافتراضات'!$B$9)/(1+'الافتراضات'!$B$6)-P158-'الافتراضات'!$B$7-'الافتراضات'!$B$8&lt;=0,0,(V158+Q158)/((1-'الافتراضات'!$B$9)/(1+'الافتراضات'!$B$6)-P158-'الافتراضات'!$B$7-'الافتراضات'!$B$8))</f>
        <v/>
      </c>
    </row>
    <row r="159">
      <c r="A159" s="10" t="n">
        <v>158</v>
      </c>
      <c r="B159" s="11" t="inlineStr">
        <is>
          <t>التخييم والسفر</t>
        </is>
      </c>
      <c r="C159" s="11" t="inlineStr">
        <is>
          <t>كشاف قوي للبر</t>
        </is>
      </c>
      <c r="D159" s="11" t="inlineStr">
        <is>
          <t>high power spotlight rechargeable</t>
        </is>
      </c>
      <c r="E159" s="12" t="n">
        <v>91</v>
      </c>
      <c r="F159" s="10" t="inlineStr">
        <is>
          <t>تقدير</t>
        </is>
      </c>
      <c r="G159" s="10" t="inlineStr">
        <is>
          <t>تقدير</t>
        </is>
      </c>
      <c r="H159" s="10" t="inlineStr">
        <is>
          <t>لم تُفحص</t>
        </is>
      </c>
      <c r="I159" s="10" t="inlineStr">
        <is>
          <t>لم يُفحص</t>
        </is>
      </c>
      <c r="J159" s="13" t="n">
        <v>8</v>
      </c>
      <c r="K159" s="11" t="inlineStr">
        <is>
          <t>تقدير</t>
        </is>
      </c>
      <c r="L159" s="14" t="n">
        <v>0.7</v>
      </c>
      <c r="M159" s="10" t="inlineStr">
        <is>
          <t>متوسط</t>
        </is>
      </c>
      <c r="N159" s="11" t="inlineStr">
        <is>
          <t>الشتاء والكشتات</t>
        </is>
      </c>
      <c r="O159" s="11" t="inlineStr">
        <is>
          <t>SABER + بطارية ليثيوم</t>
        </is>
      </c>
      <c r="P159" s="15" t="n">
        <v>0.13</v>
      </c>
      <c r="Q159" s="14" t="n">
        <v>10</v>
      </c>
      <c r="R159" s="14" t="n">
        <v>50</v>
      </c>
      <c r="S159" s="16">
        <f>J159*'الافتراضات'!$B$2*(1+'الافتراضات'!$B$3)</f>
        <v/>
      </c>
      <c r="T159" s="16">
        <f>L159*'الافتراضات'!$B$4</f>
        <v/>
      </c>
      <c r="U159" s="16">
        <f>(S159+T159)*'الافتراضات'!$B$5</f>
        <v/>
      </c>
      <c r="V159" s="16">
        <f>S159+T159+U159</f>
        <v/>
      </c>
      <c r="W159" s="16">
        <f>MAX(1,E159*P159)</f>
        <v/>
      </c>
      <c r="X159" s="16">
        <f>E159*'الافتراضات'!$B$7</f>
        <v/>
      </c>
      <c r="Y159" s="16">
        <f>E159*'الافتراضات'!$B$8</f>
        <v/>
      </c>
      <c r="Z159" s="16">
        <f>E159/(1+'الافتراضات'!$B$6)</f>
        <v/>
      </c>
      <c r="AA159" s="16">
        <f>Z159-V159-W159-Q159-X159-Y159</f>
        <v/>
      </c>
      <c r="AB159" s="17">
        <f>IF(Z159=0,0,AA159/Z159)</f>
        <v/>
      </c>
      <c r="AC159" s="17">
        <f>IF(V159=0,0,AA159/V159)</f>
        <v/>
      </c>
      <c r="AD159" s="18">
        <f>R159*V159</f>
        <v/>
      </c>
      <c r="AE159" s="16">
        <f>IF(AB159&gt;='الافتراضات'!$B$9,IF(O159="لا","ابدأ به","جيد – يحتاج شهادة"),IF(AB159&gt;='الافتراضات'!$B$10,"مقبول","ضعيف"))</f>
        <v/>
      </c>
      <c r="AF159" s="16">
        <f>IF((1-'الافتراضات'!$B$9)/(1+'الافتراضات'!$B$6)-P159-'الافتراضات'!$B$7-'الافتراضات'!$B$8&lt;=0,0,(V159+Q159)/((1-'الافتراضات'!$B$9)/(1+'الافتراضات'!$B$6)-P159-'الافتراضات'!$B$7-'الافتراضات'!$B$8))</f>
        <v/>
      </c>
    </row>
    <row r="160">
      <c r="A160" s="10" t="n">
        <v>159</v>
      </c>
      <c r="B160" s="11" t="inlineStr">
        <is>
          <t>الأدوات والصيانة</t>
        </is>
      </c>
      <c r="C160" s="11" t="inlineStr">
        <is>
          <t>مفك كهربائي لاسلكي</t>
        </is>
      </c>
      <c r="D160" s="11" t="inlineStr">
        <is>
          <t>cordless electric screwdriver</t>
        </is>
      </c>
      <c r="E160" s="12" t="n">
        <v>91</v>
      </c>
      <c r="F160" s="10" t="inlineStr">
        <is>
          <t>تقدير</t>
        </is>
      </c>
      <c r="G160" s="10" t="inlineStr">
        <is>
          <t>تقدير</t>
        </is>
      </c>
      <c r="H160" s="10" t="inlineStr">
        <is>
          <t>لم تُفحص</t>
        </is>
      </c>
      <c r="I160" s="10" t="inlineStr">
        <is>
          <t>لم يُفحص</t>
        </is>
      </c>
      <c r="J160" s="13" t="n">
        <v>8</v>
      </c>
      <c r="K160" s="11" t="inlineStr">
        <is>
          <t>تقدير</t>
        </is>
      </c>
      <c r="L160" s="14" t="n">
        <v>0.6</v>
      </c>
      <c r="M160" s="10" t="inlineStr">
        <is>
          <t>متوسط</t>
        </is>
      </c>
      <c r="N160" s="11" t="inlineStr">
        <is>
          <t>طوال السنة</t>
        </is>
      </c>
      <c r="O160" s="11" t="inlineStr">
        <is>
          <t>SABER + بطارية ليثيوم</t>
        </is>
      </c>
      <c r="P160" s="15" t="n">
        <v>0.14</v>
      </c>
      <c r="Q160" s="14" t="n">
        <v>10</v>
      </c>
      <c r="R160" s="14" t="n">
        <v>50</v>
      </c>
      <c r="S160" s="16">
        <f>J160*'الافتراضات'!$B$2*(1+'الافتراضات'!$B$3)</f>
        <v/>
      </c>
      <c r="T160" s="16">
        <f>L160*'الافتراضات'!$B$4</f>
        <v/>
      </c>
      <c r="U160" s="16">
        <f>(S160+T160)*'الافتراضات'!$B$5</f>
        <v/>
      </c>
      <c r="V160" s="16">
        <f>S160+T160+U160</f>
        <v/>
      </c>
      <c r="W160" s="16">
        <f>MAX(1,E160*P160)</f>
        <v/>
      </c>
      <c r="X160" s="16">
        <f>E160*'الافتراضات'!$B$7</f>
        <v/>
      </c>
      <c r="Y160" s="16">
        <f>E160*'الافتراضات'!$B$8</f>
        <v/>
      </c>
      <c r="Z160" s="16">
        <f>E160/(1+'الافتراضات'!$B$6)</f>
        <v/>
      </c>
      <c r="AA160" s="16">
        <f>Z160-V160-W160-Q160-X160-Y160</f>
        <v/>
      </c>
      <c r="AB160" s="17">
        <f>IF(Z160=0,0,AA160/Z160)</f>
        <v/>
      </c>
      <c r="AC160" s="17">
        <f>IF(V160=0,0,AA160/V160)</f>
        <v/>
      </c>
      <c r="AD160" s="18">
        <f>R160*V160</f>
        <v/>
      </c>
      <c r="AE160" s="16">
        <f>IF(AB160&gt;='الافتراضات'!$B$9,IF(O160="لا","ابدأ به","جيد – يحتاج شهادة"),IF(AB160&gt;='الافتراضات'!$B$10,"مقبول","ضعيف"))</f>
        <v/>
      </c>
      <c r="AF160" s="16">
        <f>IF((1-'الافتراضات'!$B$9)/(1+'الافتراضات'!$B$6)-P160-'الافتراضات'!$B$7-'الافتراضات'!$B$8&lt;=0,0,(V160+Q160)/((1-'الافتراضات'!$B$9)/(1+'الافتراضات'!$B$6)-P160-'الافتراضات'!$B$7-'الافتراضات'!$B$8))</f>
        <v/>
      </c>
    </row>
    <row r="161">
      <c r="A161" s="10" t="n">
        <v>160</v>
      </c>
      <c r="B161" s="11" t="inlineStr">
        <is>
          <t>الأدوات والصيانة</t>
        </is>
      </c>
      <c r="C161" s="11" t="inlineStr">
        <is>
          <t>مسدس حرارة</t>
        </is>
      </c>
      <c r="D161" s="11" t="inlineStr">
        <is>
          <t>heat gun 2000W</t>
        </is>
      </c>
      <c r="E161" s="12" t="n">
        <v>102</v>
      </c>
      <c r="F161" s="10" t="inlineStr">
        <is>
          <t>تقدير</t>
        </is>
      </c>
      <c r="G161" s="10" t="inlineStr">
        <is>
          <t>تقدير</t>
        </is>
      </c>
      <c r="H161" s="10" t="inlineStr">
        <is>
          <t>لم تُفحص</t>
        </is>
      </c>
      <c r="I161" s="10" t="inlineStr">
        <is>
          <t>لم يُفحص</t>
        </is>
      </c>
      <c r="J161" s="13" t="n">
        <v>9</v>
      </c>
      <c r="K161" s="11" t="inlineStr">
        <is>
          <t>تقدير</t>
        </is>
      </c>
      <c r="L161" s="14" t="n">
        <v>0.8</v>
      </c>
      <c r="M161" s="10" t="inlineStr">
        <is>
          <t>متوسط</t>
        </is>
      </c>
      <c r="N161" s="11" t="inlineStr">
        <is>
          <t>طوال السنة</t>
        </is>
      </c>
      <c r="O161" s="11" t="inlineStr">
        <is>
          <t>SABER</t>
        </is>
      </c>
      <c r="P161" s="15" t="n">
        <v>0.14</v>
      </c>
      <c r="Q161" s="14" t="n">
        <v>10</v>
      </c>
      <c r="R161" s="14" t="n">
        <v>50</v>
      </c>
      <c r="S161" s="16">
        <f>J161*'الافتراضات'!$B$2*(1+'الافتراضات'!$B$3)</f>
        <v/>
      </c>
      <c r="T161" s="16">
        <f>L161*'الافتراضات'!$B$4</f>
        <v/>
      </c>
      <c r="U161" s="16">
        <f>(S161+T161)*'الافتراضات'!$B$5</f>
        <v/>
      </c>
      <c r="V161" s="16">
        <f>S161+T161+U161</f>
        <v/>
      </c>
      <c r="W161" s="16">
        <f>MAX(1,E161*P161)</f>
        <v/>
      </c>
      <c r="X161" s="16">
        <f>E161*'الافتراضات'!$B$7</f>
        <v/>
      </c>
      <c r="Y161" s="16">
        <f>E161*'الافتراضات'!$B$8</f>
        <v/>
      </c>
      <c r="Z161" s="16">
        <f>E161/(1+'الافتراضات'!$B$6)</f>
        <v/>
      </c>
      <c r="AA161" s="16">
        <f>Z161-V161-W161-Q161-X161-Y161</f>
        <v/>
      </c>
      <c r="AB161" s="17">
        <f>IF(Z161=0,0,AA161/Z161)</f>
        <v/>
      </c>
      <c r="AC161" s="17">
        <f>IF(V161=0,0,AA161/V161)</f>
        <v/>
      </c>
      <c r="AD161" s="18">
        <f>R161*V161</f>
        <v/>
      </c>
      <c r="AE161" s="16">
        <f>IF(AB161&gt;='الافتراضات'!$B$9,IF(O161="لا","ابدأ به","جيد – يحتاج شهادة"),IF(AB161&gt;='الافتراضات'!$B$10,"مقبول","ضعيف"))</f>
        <v/>
      </c>
      <c r="AF161" s="16">
        <f>IF((1-'الافتراضات'!$B$9)/(1+'الافتراضات'!$B$6)-P161-'الافتراضات'!$B$7-'الافتراضات'!$B$8&lt;=0,0,(V161+Q161)/((1-'الافتراضات'!$B$9)/(1+'الافتراضات'!$B$6)-P161-'الافتراضات'!$B$7-'الافتراضات'!$B$8))</f>
        <v/>
      </c>
    </row>
    <row r="162">
      <c r="A162" s="10" t="n">
        <v>161</v>
      </c>
      <c r="B162" s="11" t="inlineStr">
        <is>
          <t>المنزل والمطبخ</t>
        </is>
      </c>
      <c r="C162" s="11" t="inlineStr">
        <is>
          <t>منقي هواء صغير</t>
        </is>
      </c>
      <c r="D162" s="11" t="inlineStr">
        <is>
          <t>small air purifier HEPA</t>
        </is>
      </c>
      <c r="E162" s="12" t="n">
        <v>158</v>
      </c>
      <c r="F162" s="10" t="inlineStr">
        <is>
          <t>تقدير</t>
        </is>
      </c>
      <c r="G162" s="10" t="inlineStr">
        <is>
          <t>تقدير</t>
        </is>
      </c>
      <c r="H162" s="10" t="inlineStr">
        <is>
          <t>لم تُفحص</t>
        </is>
      </c>
      <c r="I162" s="10" t="inlineStr">
        <is>
          <t>لم يُفحص</t>
        </is>
      </c>
      <c r="J162" s="13" t="n">
        <v>14</v>
      </c>
      <c r="K162" s="11" t="inlineStr">
        <is>
          <t>تقدير</t>
        </is>
      </c>
      <c r="L162" s="14" t="n">
        <v>1.5</v>
      </c>
      <c r="M162" s="10" t="inlineStr">
        <is>
          <t>متوسط</t>
        </is>
      </c>
      <c r="N162" s="11" t="inlineStr">
        <is>
          <t>طوال السنة</t>
        </is>
      </c>
      <c r="O162" s="11" t="inlineStr">
        <is>
          <t>SABER</t>
        </is>
      </c>
      <c r="P162" s="15" t="n">
        <v>0.15</v>
      </c>
      <c r="Q162" s="14" t="n">
        <v>11.5</v>
      </c>
      <c r="R162" s="14" t="n">
        <v>50</v>
      </c>
      <c r="S162" s="16">
        <f>J162*'الافتراضات'!$B$2*(1+'الافتراضات'!$B$3)</f>
        <v/>
      </c>
      <c r="T162" s="16">
        <f>L162*'الافتراضات'!$B$4</f>
        <v/>
      </c>
      <c r="U162" s="16">
        <f>(S162+T162)*'الافتراضات'!$B$5</f>
        <v/>
      </c>
      <c r="V162" s="16">
        <f>S162+T162+U162</f>
        <v/>
      </c>
      <c r="W162" s="16">
        <f>MAX(1,E162*P162)</f>
        <v/>
      </c>
      <c r="X162" s="16">
        <f>E162*'الافتراضات'!$B$7</f>
        <v/>
      </c>
      <c r="Y162" s="16">
        <f>E162*'الافتراضات'!$B$8</f>
        <v/>
      </c>
      <c r="Z162" s="16">
        <f>E162/(1+'الافتراضات'!$B$6)</f>
        <v/>
      </c>
      <c r="AA162" s="16">
        <f>Z162-V162-W162-Q162-X162-Y162</f>
        <v/>
      </c>
      <c r="AB162" s="17">
        <f>IF(Z162=0,0,AA162/Z162)</f>
        <v/>
      </c>
      <c r="AC162" s="17">
        <f>IF(V162=0,0,AA162/V162)</f>
        <v/>
      </c>
      <c r="AD162" s="18">
        <f>R162*V162</f>
        <v/>
      </c>
      <c r="AE162" s="16">
        <f>IF(AB162&gt;='الافتراضات'!$B$9,IF(O162="لا","ابدأ به","جيد – يحتاج شهادة"),IF(AB162&gt;='الافتراضات'!$B$10,"مقبول","ضعيف"))</f>
        <v/>
      </c>
      <c r="AF162" s="16">
        <f>IF((1-'الافتراضات'!$B$9)/(1+'الافتراضات'!$B$6)-P162-'الافتراضات'!$B$7-'الافتراضات'!$B$8&lt;=0,0,(V162+Q162)/((1-'الافتراضات'!$B$9)/(1+'الافتراضات'!$B$6)-P162-'الافتراضات'!$B$7-'الافتراضات'!$B$8))</f>
        <v/>
      </c>
    </row>
    <row r="163">
      <c r="A163" s="10" t="n">
        <v>162</v>
      </c>
      <c r="B163" s="11" t="inlineStr">
        <is>
          <t>الرياضة واللياقة</t>
        </is>
      </c>
      <c r="C163" s="11" t="inlineStr">
        <is>
          <t>خوذة سكوتر</t>
        </is>
      </c>
      <c r="D163" s="11" t="inlineStr">
        <is>
          <t>scooter helmet adult</t>
        </is>
      </c>
      <c r="E163" s="12" t="n">
        <v>79</v>
      </c>
      <c r="F163" s="10" t="inlineStr">
        <is>
          <t>تقدير</t>
        </is>
      </c>
      <c r="G163" s="10" t="inlineStr">
        <is>
          <t>تقدير</t>
        </is>
      </c>
      <c r="H163" s="10" t="inlineStr">
        <is>
          <t>لم تُفحص</t>
        </is>
      </c>
      <c r="I163" s="10" t="inlineStr">
        <is>
          <t>لم يُفحص</t>
        </is>
      </c>
      <c r="J163" s="13" t="n">
        <v>7</v>
      </c>
      <c r="K163" s="11" t="inlineStr">
        <is>
          <t>تقدير</t>
        </is>
      </c>
      <c r="L163" s="14" t="n">
        <v>0.5</v>
      </c>
      <c r="M163" s="10" t="inlineStr">
        <is>
          <t>متوسط</t>
        </is>
      </c>
      <c r="N163" s="11" t="inlineStr">
        <is>
          <t>طوال السنة</t>
        </is>
      </c>
      <c r="O163" s="11" t="inlineStr">
        <is>
          <t>تحقق من اللوائح</t>
        </is>
      </c>
      <c r="P163" s="15" t="n">
        <v>0.13</v>
      </c>
      <c r="Q163" s="14" t="n">
        <v>9.5</v>
      </c>
      <c r="R163" s="14" t="n">
        <v>50</v>
      </c>
      <c r="S163" s="16">
        <f>J163*'الافتراضات'!$B$2*(1+'الافتراضات'!$B$3)</f>
        <v/>
      </c>
      <c r="T163" s="16">
        <f>L163*'الافتراضات'!$B$4</f>
        <v/>
      </c>
      <c r="U163" s="16">
        <f>(S163+T163)*'الافتراضات'!$B$5</f>
        <v/>
      </c>
      <c r="V163" s="16">
        <f>S163+T163+U163</f>
        <v/>
      </c>
      <c r="W163" s="16">
        <f>MAX(1,E163*P163)</f>
        <v/>
      </c>
      <c r="X163" s="16">
        <f>E163*'الافتراضات'!$B$7</f>
        <v/>
      </c>
      <c r="Y163" s="16">
        <f>E163*'الافتراضات'!$B$8</f>
        <v/>
      </c>
      <c r="Z163" s="16">
        <f>E163/(1+'الافتراضات'!$B$6)</f>
        <v/>
      </c>
      <c r="AA163" s="16">
        <f>Z163-V163-W163-Q163-X163-Y163</f>
        <v/>
      </c>
      <c r="AB163" s="17">
        <f>IF(Z163=0,0,AA163/Z163)</f>
        <v/>
      </c>
      <c r="AC163" s="17">
        <f>IF(V163=0,0,AA163/V163)</f>
        <v/>
      </c>
      <c r="AD163" s="18">
        <f>R163*V163</f>
        <v/>
      </c>
      <c r="AE163" s="16">
        <f>IF(AB163&gt;='الافتراضات'!$B$9,IF(O163="لا","ابدأ به","جيد – يحتاج شهادة"),IF(AB163&gt;='الافتراضات'!$B$10,"مقبول","ضعيف"))</f>
        <v/>
      </c>
      <c r="AF163" s="16">
        <f>IF((1-'الافتراضات'!$B$9)/(1+'الافتراضات'!$B$6)-P163-'الافتراضات'!$B$7-'الافتراضات'!$B$8&lt;=0,0,(V163+Q163)/((1-'الافتراضات'!$B$9)/(1+'الافتراضات'!$B$6)-P163-'الافتراضات'!$B$7-'الافتراضات'!$B$8))</f>
        <v/>
      </c>
    </row>
    <row r="164">
      <c r="A164" s="10" t="n">
        <v>163</v>
      </c>
      <c r="B164" s="11" t="inlineStr">
        <is>
          <t>إكسسوارات الجوال والإلكترونيات</t>
        </is>
      </c>
      <c r="C164" s="11" t="inlineStr">
        <is>
          <t>طقم تنظيم الأسلاك والكيابل</t>
        </is>
      </c>
      <c r="D164" s="11" t="inlineStr">
        <is>
          <t>cable management kit</t>
        </is>
      </c>
      <c r="E164" s="12" t="n">
        <v>25</v>
      </c>
      <c r="F164" s="10" t="inlineStr">
        <is>
          <t>تقدير</t>
        </is>
      </c>
      <c r="G164" s="10" t="inlineStr">
        <is>
          <t>تقدير</t>
        </is>
      </c>
      <c r="H164" s="10" t="inlineStr">
        <is>
          <t>لم تُفحص</t>
        </is>
      </c>
      <c r="I164" s="10" t="inlineStr">
        <is>
          <t>لم يُفحص</t>
        </is>
      </c>
      <c r="J164" s="13" t="n">
        <v>1.2</v>
      </c>
      <c r="K164" s="11" t="inlineStr">
        <is>
          <t>تقدير</t>
        </is>
      </c>
      <c r="L164" s="14" t="n">
        <v>0.2</v>
      </c>
      <c r="M164" s="10" t="inlineStr">
        <is>
          <t>صغير</t>
        </is>
      </c>
      <c r="N164" s="11" t="inlineStr">
        <is>
          <t>طوال السنة</t>
        </is>
      </c>
      <c r="O164" s="11" t="inlineStr">
        <is>
          <t>لا</t>
        </is>
      </c>
      <c r="P164" s="15" t="n">
        <v>0.13</v>
      </c>
      <c r="Q164" s="14" t="n">
        <v>7</v>
      </c>
      <c r="R164" s="14" t="n">
        <v>50</v>
      </c>
      <c r="S164" s="16">
        <f>J164*'الافتراضات'!$B$2*(1+'الافتراضات'!$B$3)</f>
        <v/>
      </c>
      <c r="T164" s="16">
        <f>L164*'الافتراضات'!$B$4</f>
        <v/>
      </c>
      <c r="U164" s="16">
        <f>(S164+T164)*'الافتراضات'!$B$5</f>
        <v/>
      </c>
      <c r="V164" s="16">
        <f>S164+T164+U164</f>
        <v/>
      </c>
      <c r="W164" s="16">
        <f>MAX(1,E164*P164)</f>
        <v/>
      </c>
      <c r="X164" s="16">
        <f>E164*'الافتراضات'!$B$7</f>
        <v/>
      </c>
      <c r="Y164" s="16">
        <f>E164*'الافتراضات'!$B$8</f>
        <v/>
      </c>
      <c r="Z164" s="16">
        <f>E164/(1+'الافتراضات'!$B$6)</f>
        <v/>
      </c>
      <c r="AA164" s="16">
        <f>Z164-V164-W164-Q164-X164-Y164</f>
        <v/>
      </c>
      <c r="AB164" s="17">
        <f>IF(Z164=0,0,AA164/Z164)</f>
        <v/>
      </c>
      <c r="AC164" s="17">
        <f>IF(V164=0,0,AA164/V164)</f>
        <v/>
      </c>
      <c r="AD164" s="18">
        <f>R164*V164</f>
        <v/>
      </c>
      <c r="AE164" s="16">
        <f>IF(AB164&gt;='الافتراضات'!$B$9,IF(O164="لا","ابدأ به","جيد – يحتاج شهادة"),IF(AB164&gt;='الافتراضات'!$B$10,"مقبول","ضعيف"))</f>
        <v/>
      </c>
      <c r="AF164" s="16">
        <f>IF((1-'الافتراضات'!$B$9)/(1+'الافتراضات'!$B$6)-P164-'الافتراضات'!$B$7-'الافتراضات'!$B$8&lt;=0,0,(V164+Q164)/((1-'الافتراضات'!$B$9)/(1+'الافتراضات'!$B$6)-P164-'الافتراضات'!$B$7-'الافتراضات'!$B$8))</f>
        <v/>
      </c>
    </row>
    <row r="165">
      <c r="A165" s="10" t="n">
        <v>164</v>
      </c>
      <c r="B165" s="11" t="inlineStr">
        <is>
          <t>التخييم والسفر</t>
        </is>
      </c>
      <c r="C165" s="11" t="inlineStr">
        <is>
          <t>كيس نوم شتوي</t>
        </is>
      </c>
      <c r="D165" s="11" t="inlineStr">
        <is>
          <t>winter sleeping bag</t>
        </is>
      </c>
      <c r="E165" s="12" t="n">
        <v>158</v>
      </c>
      <c r="F165" s="10" t="inlineStr">
        <is>
          <t>تقدير</t>
        </is>
      </c>
      <c r="G165" s="10" t="inlineStr">
        <is>
          <t>تقدير</t>
        </is>
      </c>
      <c r="H165" s="10" t="inlineStr">
        <is>
          <t>لم تُفحص</t>
        </is>
      </c>
      <c r="I165" s="10" t="inlineStr">
        <is>
          <t>لم يُفحص</t>
        </is>
      </c>
      <c r="J165" s="13" t="n">
        <v>14</v>
      </c>
      <c r="K165" s="11" t="inlineStr">
        <is>
          <t>تقدير</t>
        </is>
      </c>
      <c r="L165" s="14" t="n">
        <v>1.5</v>
      </c>
      <c r="M165" s="10" t="inlineStr">
        <is>
          <t>كبير</t>
        </is>
      </c>
      <c r="N165" s="11" t="inlineStr">
        <is>
          <t>الشتاء والكشتات</t>
        </is>
      </c>
      <c r="O165" s="11" t="inlineStr">
        <is>
          <t>لا</t>
        </is>
      </c>
      <c r="P165" s="15" t="n">
        <v>0.13</v>
      </c>
      <c r="Q165" s="14" t="n">
        <v>15</v>
      </c>
      <c r="R165" s="14" t="n">
        <v>50</v>
      </c>
      <c r="S165" s="16">
        <f>J165*'الافتراضات'!$B$2*(1+'الافتراضات'!$B$3)</f>
        <v/>
      </c>
      <c r="T165" s="16">
        <f>L165*'الافتراضات'!$B$4</f>
        <v/>
      </c>
      <c r="U165" s="16">
        <f>(S165+T165)*'الافتراضات'!$B$5</f>
        <v/>
      </c>
      <c r="V165" s="16">
        <f>S165+T165+U165</f>
        <v/>
      </c>
      <c r="W165" s="16">
        <f>MAX(1,E165*P165)</f>
        <v/>
      </c>
      <c r="X165" s="16">
        <f>E165*'الافتراضات'!$B$7</f>
        <v/>
      </c>
      <c r="Y165" s="16">
        <f>E165*'الافتراضات'!$B$8</f>
        <v/>
      </c>
      <c r="Z165" s="16">
        <f>E165/(1+'الافتراضات'!$B$6)</f>
        <v/>
      </c>
      <c r="AA165" s="16">
        <f>Z165-V165-W165-Q165-X165-Y165</f>
        <v/>
      </c>
      <c r="AB165" s="17">
        <f>IF(Z165=0,0,AA165/Z165)</f>
        <v/>
      </c>
      <c r="AC165" s="17">
        <f>IF(V165=0,0,AA165/V165)</f>
        <v/>
      </c>
      <c r="AD165" s="18">
        <f>R165*V165</f>
        <v/>
      </c>
      <c r="AE165" s="16">
        <f>IF(AB165&gt;='الافتراضات'!$B$9,IF(O165="لا","ابدأ به","جيد – يحتاج شهادة"),IF(AB165&gt;='الافتراضات'!$B$10,"مقبول","ضعيف"))</f>
        <v/>
      </c>
      <c r="AF165" s="16">
        <f>IF((1-'الافتراضات'!$B$9)/(1+'الافتراضات'!$B$6)-P165-'الافتراضات'!$B$7-'الافتراضات'!$B$8&lt;=0,0,(V165+Q165)/((1-'الافتراضات'!$B$9)/(1+'الافتراضات'!$B$6)-P165-'الافتراضات'!$B$7-'الافتراضات'!$B$8))</f>
        <v/>
      </c>
    </row>
    <row r="166">
      <c r="A166" s="10" t="n">
        <v>165</v>
      </c>
      <c r="B166" s="11" t="inlineStr">
        <is>
          <t>إكسسوارات الجوال والإلكترونيات</t>
        </is>
      </c>
      <c r="C166" s="11" t="inlineStr">
        <is>
          <t>كيبورد بلوتوث مطوي</t>
        </is>
      </c>
      <c r="D166" s="11" t="inlineStr">
        <is>
          <t>foldable bluetooth keyboard</t>
        </is>
      </c>
      <c r="E166" s="12" t="n">
        <v>68</v>
      </c>
      <c r="F166" s="10" t="inlineStr">
        <is>
          <t>تقدير</t>
        </is>
      </c>
      <c r="G166" s="10" t="inlineStr">
        <is>
          <t>تقدير</t>
        </is>
      </c>
      <c r="H166" s="10" t="inlineStr">
        <is>
          <t>لم تُفحص</t>
        </is>
      </c>
      <c r="I166" s="10" t="inlineStr">
        <is>
          <t>لم يُفحص</t>
        </is>
      </c>
      <c r="J166" s="13" t="n">
        <v>6</v>
      </c>
      <c r="K166" s="11" t="inlineStr">
        <is>
          <t>تقدير</t>
        </is>
      </c>
      <c r="L166" s="14" t="n">
        <v>0.3</v>
      </c>
      <c r="M166" s="10" t="inlineStr">
        <is>
          <t>صغير</t>
        </is>
      </c>
      <c r="N166" s="11" t="inlineStr">
        <is>
          <t>طوال السنة</t>
        </is>
      </c>
      <c r="O166" s="11" t="inlineStr">
        <is>
          <t>SABER + بطارية ليثيوم</t>
        </is>
      </c>
      <c r="P166" s="15" t="n">
        <v>0.13</v>
      </c>
      <c r="Q166" s="14" t="n">
        <v>9.5</v>
      </c>
      <c r="R166" s="14" t="n">
        <v>50</v>
      </c>
      <c r="S166" s="16">
        <f>J166*'الافتراضات'!$B$2*(1+'الافتراضات'!$B$3)</f>
        <v/>
      </c>
      <c r="T166" s="16">
        <f>L166*'الافتراضات'!$B$4</f>
        <v/>
      </c>
      <c r="U166" s="16">
        <f>(S166+T166)*'الافتراضات'!$B$5</f>
        <v/>
      </c>
      <c r="V166" s="16">
        <f>S166+T166+U166</f>
        <v/>
      </c>
      <c r="W166" s="16">
        <f>MAX(1,E166*P166)</f>
        <v/>
      </c>
      <c r="X166" s="16">
        <f>E166*'الافتراضات'!$B$7</f>
        <v/>
      </c>
      <c r="Y166" s="16">
        <f>E166*'الافتراضات'!$B$8</f>
        <v/>
      </c>
      <c r="Z166" s="16">
        <f>E166/(1+'الافتراضات'!$B$6)</f>
        <v/>
      </c>
      <c r="AA166" s="16">
        <f>Z166-V166-W166-Q166-X166-Y166</f>
        <v/>
      </c>
      <c r="AB166" s="17">
        <f>IF(Z166=0,0,AA166/Z166)</f>
        <v/>
      </c>
      <c r="AC166" s="17">
        <f>IF(V166=0,0,AA166/V166)</f>
        <v/>
      </c>
      <c r="AD166" s="18">
        <f>R166*V166</f>
        <v/>
      </c>
      <c r="AE166" s="16">
        <f>IF(AB166&gt;='الافتراضات'!$B$9,IF(O166="لا","ابدأ به","جيد – يحتاج شهادة"),IF(AB166&gt;='الافتراضات'!$B$10,"مقبول","ضعيف"))</f>
        <v/>
      </c>
      <c r="AF166" s="16">
        <f>IF((1-'الافتراضات'!$B$9)/(1+'الافتراضات'!$B$6)-P166-'الافتراضات'!$B$7-'الافتراضات'!$B$8&lt;=0,0,(V166+Q166)/((1-'الافتراضات'!$B$9)/(1+'الافتراضات'!$B$6)-P166-'الافتراضات'!$B$7-'الافتراضات'!$B$8))</f>
        <v/>
      </c>
    </row>
    <row r="167">
      <c r="A167" s="10" t="n">
        <v>166</v>
      </c>
      <c r="B167" s="11" t="inlineStr">
        <is>
          <t>المكتب والدراسة</t>
        </is>
      </c>
      <c r="C167" s="11" t="inlineStr">
        <is>
          <t>آلة تقطيع ورق</t>
        </is>
      </c>
      <c r="D167" s="11" t="inlineStr">
        <is>
          <t>paper shredder small</t>
        </is>
      </c>
      <c r="E167" s="12" t="n">
        <v>249</v>
      </c>
      <c r="F167" s="10" t="inlineStr">
        <is>
          <t>تقدير</t>
        </is>
      </c>
      <c r="G167" s="10" t="inlineStr">
        <is>
          <t>تقدير</t>
        </is>
      </c>
      <c r="H167" s="10" t="inlineStr">
        <is>
          <t>لم تُفحص</t>
        </is>
      </c>
      <c r="I167" s="10" t="inlineStr">
        <is>
          <t>لم يُفحص</t>
        </is>
      </c>
      <c r="J167" s="13" t="n">
        <v>22</v>
      </c>
      <c r="K167" s="11" t="inlineStr">
        <is>
          <t>تقدير</t>
        </is>
      </c>
      <c r="L167" s="14" t="n">
        <v>3.5</v>
      </c>
      <c r="M167" s="10" t="inlineStr">
        <is>
          <t>كبير</t>
        </is>
      </c>
      <c r="N167" s="11" t="inlineStr">
        <is>
          <t>طوال السنة</t>
        </is>
      </c>
      <c r="O167" s="11" t="inlineStr">
        <is>
          <t>SABER</t>
        </is>
      </c>
      <c r="P167" s="15" t="n">
        <v>0.12</v>
      </c>
      <c r="Q167" s="14" t="n">
        <v>17</v>
      </c>
      <c r="R167" s="14" t="n">
        <v>50</v>
      </c>
      <c r="S167" s="16">
        <f>J167*'الافتراضات'!$B$2*(1+'الافتراضات'!$B$3)</f>
        <v/>
      </c>
      <c r="T167" s="16">
        <f>L167*'الافتراضات'!$B$4</f>
        <v/>
      </c>
      <c r="U167" s="16">
        <f>(S167+T167)*'الافتراضات'!$B$5</f>
        <v/>
      </c>
      <c r="V167" s="16">
        <f>S167+T167+U167</f>
        <v/>
      </c>
      <c r="W167" s="16">
        <f>MAX(1,E167*P167)</f>
        <v/>
      </c>
      <c r="X167" s="16">
        <f>E167*'الافتراضات'!$B$7</f>
        <v/>
      </c>
      <c r="Y167" s="16">
        <f>E167*'الافتراضات'!$B$8</f>
        <v/>
      </c>
      <c r="Z167" s="16">
        <f>E167/(1+'الافتراضات'!$B$6)</f>
        <v/>
      </c>
      <c r="AA167" s="16">
        <f>Z167-V167-W167-Q167-X167-Y167</f>
        <v/>
      </c>
      <c r="AB167" s="17">
        <f>IF(Z167=0,0,AA167/Z167)</f>
        <v/>
      </c>
      <c r="AC167" s="17">
        <f>IF(V167=0,0,AA167/V167)</f>
        <v/>
      </c>
      <c r="AD167" s="18">
        <f>R167*V167</f>
        <v/>
      </c>
      <c r="AE167" s="16">
        <f>IF(AB167&gt;='الافتراضات'!$B$9,IF(O167="لا","ابدأ به","جيد – يحتاج شهادة"),IF(AB167&gt;='الافتراضات'!$B$10,"مقبول","ضعيف"))</f>
        <v/>
      </c>
      <c r="AF167" s="16">
        <f>IF((1-'الافتراضات'!$B$9)/(1+'الافتراضات'!$B$6)-P167-'الافتراضات'!$B$7-'الافتراضات'!$B$8&lt;=0,0,(V167+Q167)/((1-'الافتراضات'!$B$9)/(1+'الافتراضات'!$B$6)-P167-'الافتراضات'!$B$7-'الافتراضات'!$B$8))</f>
        <v/>
      </c>
    </row>
    <row r="168">
      <c r="A168" s="10" t="n">
        <v>167</v>
      </c>
      <c r="B168" s="11" t="inlineStr">
        <is>
          <t>التخييم والسفر</t>
        </is>
      </c>
      <c r="C168" s="11" t="inlineStr">
        <is>
          <t>طقم طهي تخييم</t>
        </is>
      </c>
      <c r="D168" s="11" t="inlineStr">
        <is>
          <t>camping cookware set</t>
        </is>
      </c>
      <c r="E168" s="12" t="n">
        <v>102</v>
      </c>
      <c r="F168" s="10" t="inlineStr">
        <is>
          <t>تقدير</t>
        </is>
      </c>
      <c r="G168" s="10" t="inlineStr">
        <is>
          <t>تقدير</t>
        </is>
      </c>
      <c r="H168" s="10" t="inlineStr">
        <is>
          <t>لم تُفحص</t>
        </is>
      </c>
      <c r="I168" s="10" t="inlineStr">
        <is>
          <t>لم يُفحص</t>
        </is>
      </c>
      <c r="J168" s="13" t="n">
        <v>9</v>
      </c>
      <c r="K168" s="11" t="inlineStr">
        <is>
          <t>تقدير</t>
        </is>
      </c>
      <c r="L168" s="14" t="n">
        <v>1</v>
      </c>
      <c r="M168" s="10" t="inlineStr">
        <is>
          <t>متوسط</t>
        </is>
      </c>
      <c r="N168" s="11" t="inlineStr">
        <is>
          <t>الشتاء والكشتات</t>
        </is>
      </c>
      <c r="O168" s="11" t="inlineStr">
        <is>
          <t>ملامس للغذاء (SFDA)</t>
        </is>
      </c>
      <c r="P168" s="15" t="n">
        <v>0.13</v>
      </c>
      <c r="Q168" s="14" t="n">
        <v>10</v>
      </c>
      <c r="R168" s="14" t="n">
        <v>50</v>
      </c>
      <c r="S168" s="16">
        <f>J168*'الافتراضات'!$B$2*(1+'الافتراضات'!$B$3)</f>
        <v/>
      </c>
      <c r="T168" s="16">
        <f>L168*'الافتراضات'!$B$4</f>
        <v/>
      </c>
      <c r="U168" s="16">
        <f>(S168+T168)*'الافتراضات'!$B$5</f>
        <v/>
      </c>
      <c r="V168" s="16">
        <f>S168+T168+U168</f>
        <v/>
      </c>
      <c r="W168" s="16">
        <f>MAX(1,E168*P168)</f>
        <v/>
      </c>
      <c r="X168" s="16">
        <f>E168*'الافتراضات'!$B$7</f>
        <v/>
      </c>
      <c r="Y168" s="16">
        <f>E168*'الافتراضات'!$B$8</f>
        <v/>
      </c>
      <c r="Z168" s="16">
        <f>E168/(1+'الافتراضات'!$B$6)</f>
        <v/>
      </c>
      <c r="AA168" s="16">
        <f>Z168-V168-W168-Q168-X168-Y168</f>
        <v/>
      </c>
      <c r="AB168" s="17">
        <f>IF(Z168=0,0,AA168/Z168)</f>
        <v/>
      </c>
      <c r="AC168" s="17">
        <f>IF(V168=0,0,AA168/V168)</f>
        <v/>
      </c>
      <c r="AD168" s="18">
        <f>R168*V168</f>
        <v/>
      </c>
      <c r="AE168" s="16">
        <f>IF(AB168&gt;='الافتراضات'!$B$9,IF(O168="لا","ابدأ به","جيد – يحتاج شهادة"),IF(AB168&gt;='الافتراضات'!$B$10,"مقبول","ضعيف"))</f>
        <v/>
      </c>
      <c r="AF168" s="16">
        <f>IF((1-'الافتراضات'!$B$9)/(1+'الافتراضات'!$B$6)-P168-'الافتراضات'!$B$7-'الافتراضات'!$B$8&lt;=0,0,(V168+Q168)/((1-'الافتراضات'!$B$9)/(1+'الافتراضات'!$B$6)-P168-'الافتراضات'!$B$7-'الافتراضات'!$B$8))</f>
        <v/>
      </c>
    </row>
    <row r="169">
      <c r="A169" s="10" t="n">
        <v>168</v>
      </c>
      <c r="B169" s="11" t="inlineStr">
        <is>
          <t>المنزل والمطبخ</t>
        </is>
      </c>
      <c r="C169" s="11" t="inlineStr">
        <is>
          <t>دفاية كهربائية صغيرة سيراميك</t>
        </is>
      </c>
      <c r="D169" s="11" t="inlineStr">
        <is>
          <t>mini ceramic space heater</t>
        </is>
      </c>
      <c r="E169" s="12" t="n">
        <v>102</v>
      </c>
      <c r="F169" s="10" t="inlineStr">
        <is>
          <t>تقدير</t>
        </is>
      </c>
      <c r="G169" s="10" t="inlineStr">
        <is>
          <t>تقدير</t>
        </is>
      </c>
      <c r="H169" s="10" t="inlineStr">
        <is>
          <t>لم تُفحص</t>
        </is>
      </c>
      <c r="I169" s="10" t="inlineStr">
        <is>
          <t>لم يُفحص</t>
        </is>
      </c>
      <c r="J169" s="13" t="n">
        <v>9</v>
      </c>
      <c r="K169" s="11" t="inlineStr">
        <is>
          <t>تقدير</t>
        </is>
      </c>
      <c r="L169" s="14" t="n">
        <v>1.2</v>
      </c>
      <c r="M169" s="10" t="inlineStr">
        <is>
          <t>متوسط</t>
        </is>
      </c>
      <c r="N169" s="11" t="inlineStr">
        <is>
          <t>الشتاء والكشتات</t>
        </is>
      </c>
      <c r="O169" s="11" t="inlineStr">
        <is>
          <t>SABER</t>
        </is>
      </c>
      <c r="P169" s="15" t="n">
        <v>0.1</v>
      </c>
      <c r="Q169" s="14" t="n">
        <v>11.5</v>
      </c>
      <c r="R169" s="14" t="n">
        <v>50</v>
      </c>
      <c r="S169" s="16">
        <f>J169*'الافتراضات'!$B$2*(1+'الافتراضات'!$B$3)</f>
        <v/>
      </c>
      <c r="T169" s="16">
        <f>L169*'الافتراضات'!$B$4</f>
        <v/>
      </c>
      <c r="U169" s="16">
        <f>(S169+T169)*'الافتراضات'!$B$5</f>
        <v/>
      </c>
      <c r="V169" s="16">
        <f>S169+T169+U169</f>
        <v/>
      </c>
      <c r="W169" s="16">
        <f>MAX(1,E169*P169)</f>
        <v/>
      </c>
      <c r="X169" s="16">
        <f>E169*'الافتراضات'!$B$7</f>
        <v/>
      </c>
      <c r="Y169" s="16">
        <f>E169*'الافتراضات'!$B$8</f>
        <v/>
      </c>
      <c r="Z169" s="16">
        <f>E169/(1+'الافتراضات'!$B$6)</f>
        <v/>
      </c>
      <c r="AA169" s="16">
        <f>Z169-V169-W169-Q169-X169-Y169</f>
        <v/>
      </c>
      <c r="AB169" s="17">
        <f>IF(Z169=0,0,AA169/Z169)</f>
        <v/>
      </c>
      <c r="AC169" s="17">
        <f>IF(V169=0,0,AA169/V169)</f>
        <v/>
      </c>
      <c r="AD169" s="18">
        <f>R169*V169</f>
        <v/>
      </c>
      <c r="AE169" s="16">
        <f>IF(AB169&gt;='الافتراضات'!$B$9,IF(O169="لا","ابدأ به","جيد – يحتاج شهادة"),IF(AB169&gt;='الافتراضات'!$B$10,"مقبول","ضعيف"))</f>
        <v/>
      </c>
      <c r="AF169" s="16">
        <f>IF((1-'الافتراضات'!$B$9)/(1+'الافتراضات'!$B$6)-P169-'الافتراضات'!$B$7-'الافتراضات'!$B$8&lt;=0,0,(V169+Q169)/((1-'الافتراضات'!$B$9)/(1+'الافتراضات'!$B$6)-P169-'الافتراضات'!$B$7-'الافتراضات'!$B$8))</f>
        <v/>
      </c>
    </row>
    <row r="170">
      <c r="A170" s="10" t="n">
        <v>169</v>
      </c>
      <c r="B170" s="11" t="inlineStr">
        <is>
          <t>الحقائب والسفر</t>
        </is>
      </c>
      <c r="C170" s="11" t="inlineStr">
        <is>
          <t>حقيبة تسوق قابلة للطي</t>
        </is>
      </c>
      <c r="D170" s="11" t="inlineStr">
        <is>
          <t>foldable shopping bag reusable</t>
        </is>
      </c>
      <c r="E170" s="12" t="n">
        <v>25</v>
      </c>
      <c r="F170" s="10" t="inlineStr">
        <is>
          <t>تقدير</t>
        </is>
      </c>
      <c r="G170" s="10" t="inlineStr">
        <is>
          <t>تقدير</t>
        </is>
      </c>
      <c r="H170" s="10" t="inlineStr">
        <is>
          <t>لم تُفحص</t>
        </is>
      </c>
      <c r="I170" s="10" t="inlineStr">
        <is>
          <t>لم يُفحص</t>
        </is>
      </c>
      <c r="J170" s="13" t="n">
        <v>1</v>
      </c>
      <c r="K170" s="11" t="inlineStr">
        <is>
          <t>تقدير</t>
        </is>
      </c>
      <c r="L170" s="14" t="n">
        <v>0.08</v>
      </c>
      <c r="M170" s="10" t="inlineStr">
        <is>
          <t>صغير</t>
        </is>
      </c>
      <c r="N170" s="11" t="inlineStr">
        <is>
          <t>طوال السنة</t>
        </is>
      </c>
      <c r="O170" s="11" t="inlineStr">
        <is>
          <t>لا</t>
        </is>
      </c>
      <c r="P170" s="15" t="n">
        <v>0.25</v>
      </c>
      <c r="Q170" s="14" t="n">
        <v>6</v>
      </c>
      <c r="R170" s="14" t="n">
        <v>50</v>
      </c>
      <c r="S170" s="16">
        <f>J170*'الافتراضات'!$B$2*(1+'الافتراضات'!$B$3)</f>
        <v/>
      </c>
      <c r="T170" s="16">
        <f>L170*'الافتراضات'!$B$4</f>
        <v/>
      </c>
      <c r="U170" s="16">
        <f>(S170+T170)*'الافتراضات'!$B$5</f>
        <v/>
      </c>
      <c r="V170" s="16">
        <f>S170+T170+U170</f>
        <v/>
      </c>
      <c r="W170" s="16">
        <f>MAX(1,E170*P170)</f>
        <v/>
      </c>
      <c r="X170" s="16">
        <f>E170*'الافتراضات'!$B$7</f>
        <v/>
      </c>
      <c r="Y170" s="16">
        <f>E170*'الافتراضات'!$B$8</f>
        <v/>
      </c>
      <c r="Z170" s="16">
        <f>E170/(1+'الافتراضات'!$B$6)</f>
        <v/>
      </c>
      <c r="AA170" s="16">
        <f>Z170-V170-W170-Q170-X170-Y170</f>
        <v/>
      </c>
      <c r="AB170" s="17">
        <f>IF(Z170=0,0,AA170/Z170)</f>
        <v/>
      </c>
      <c r="AC170" s="17">
        <f>IF(V170=0,0,AA170/V170)</f>
        <v/>
      </c>
      <c r="AD170" s="18">
        <f>R170*V170</f>
        <v/>
      </c>
      <c r="AE170" s="16">
        <f>IF(AB170&gt;='الافتراضات'!$B$9,IF(O170="لا","ابدأ به","جيد – يحتاج شهادة"),IF(AB170&gt;='الافتراضات'!$B$10,"مقبول","ضعيف"))</f>
        <v/>
      </c>
      <c r="AF170" s="16">
        <f>IF((1-'الافتراضات'!$B$9)/(1+'الافتراضات'!$B$6)-P170-'الافتراضات'!$B$7-'الافتراضات'!$B$8&lt;=0,0,(V170+Q170)/((1-'الافتراضات'!$B$9)/(1+'الافتراضات'!$B$6)-P170-'الافتراضات'!$B$7-'الافتراضات'!$B$8))</f>
        <v/>
      </c>
    </row>
    <row r="171">
      <c r="A171" s="10" t="n">
        <v>170</v>
      </c>
      <c r="B171" s="11" t="inlineStr">
        <is>
          <t>الرياضة واللياقة</t>
        </is>
      </c>
      <c r="C171" s="11" t="inlineStr">
        <is>
          <t>حلقات تمارين معلقة</t>
        </is>
      </c>
      <c r="D171" s="11" t="inlineStr">
        <is>
          <t>gymnastic rings straps</t>
        </is>
      </c>
      <c r="E171" s="12" t="n">
        <v>91</v>
      </c>
      <c r="F171" s="10" t="inlineStr">
        <is>
          <t>تقدير</t>
        </is>
      </c>
      <c r="G171" s="10" t="inlineStr">
        <is>
          <t>تقدير</t>
        </is>
      </c>
      <c r="H171" s="10" t="inlineStr">
        <is>
          <t>لم تُفحص</t>
        </is>
      </c>
      <c r="I171" s="10" t="inlineStr">
        <is>
          <t>لم يُفحص</t>
        </is>
      </c>
      <c r="J171" s="13" t="n">
        <v>8</v>
      </c>
      <c r="K171" s="11" t="inlineStr">
        <is>
          <t>تقدير</t>
        </is>
      </c>
      <c r="L171" s="14" t="n">
        <v>0.8</v>
      </c>
      <c r="M171" s="10" t="inlineStr">
        <is>
          <t>متوسط</t>
        </is>
      </c>
      <c r="N171" s="11" t="inlineStr">
        <is>
          <t>طوال السنة</t>
        </is>
      </c>
      <c r="O171" s="11" t="inlineStr">
        <is>
          <t>لا</t>
        </is>
      </c>
      <c r="P171" s="15" t="n">
        <v>0.13</v>
      </c>
      <c r="Q171" s="14" t="n">
        <v>10</v>
      </c>
      <c r="R171" s="14" t="n">
        <v>50</v>
      </c>
      <c r="S171" s="16">
        <f>J171*'الافتراضات'!$B$2*(1+'الافتراضات'!$B$3)</f>
        <v/>
      </c>
      <c r="T171" s="16">
        <f>L171*'الافتراضات'!$B$4</f>
        <v/>
      </c>
      <c r="U171" s="16">
        <f>(S171+T171)*'الافتراضات'!$B$5</f>
        <v/>
      </c>
      <c r="V171" s="16">
        <f>S171+T171+U171</f>
        <v/>
      </c>
      <c r="W171" s="16">
        <f>MAX(1,E171*P171)</f>
        <v/>
      </c>
      <c r="X171" s="16">
        <f>E171*'الافتراضات'!$B$7</f>
        <v/>
      </c>
      <c r="Y171" s="16">
        <f>E171*'الافتراضات'!$B$8</f>
        <v/>
      </c>
      <c r="Z171" s="16">
        <f>E171/(1+'الافتراضات'!$B$6)</f>
        <v/>
      </c>
      <c r="AA171" s="16">
        <f>Z171-V171-W171-Q171-X171-Y171</f>
        <v/>
      </c>
      <c r="AB171" s="17">
        <f>IF(Z171=0,0,AA171/Z171)</f>
        <v/>
      </c>
      <c r="AC171" s="17">
        <f>IF(V171=0,0,AA171/V171)</f>
        <v/>
      </c>
      <c r="AD171" s="18">
        <f>R171*V171</f>
        <v/>
      </c>
      <c r="AE171" s="16">
        <f>IF(AB171&gt;='الافتراضات'!$B$9,IF(O171="لا","ابدأ به","جيد – يحتاج شهادة"),IF(AB171&gt;='الافتراضات'!$B$10,"مقبول","ضعيف"))</f>
        <v/>
      </c>
      <c r="AF171" s="16">
        <f>IF((1-'الافتراضات'!$B$9)/(1+'الافتراضات'!$B$6)-P171-'الافتراضات'!$B$7-'الافتراضات'!$B$8&lt;=0,0,(V171+Q171)/((1-'الافتراضات'!$B$9)/(1+'الافتراضات'!$B$6)-P171-'الافتراضات'!$B$7-'الافتراضات'!$B$8))</f>
        <v/>
      </c>
    </row>
    <row r="172">
      <c r="A172" s="10" t="n">
        <v>171</v>
      </c>
      <c r="B172" s="11" t="inlineStr">
        <is>
          <t>إكسسوارات الجوال والإلكترونيات</t>
        </is>
      </c>
      <c r="C172" s="11" t="inlineStr">
        <is>
          <t>مروحة جوال USB صغيرة</t>
        </is>
      </c>
      <c r="D172" s="11" t="inlineStr">
        <is>
          <t>usb phone mini fan</t>
        </is>
      </c>
      <c r="E172" s="12" t="n">
        <v>25</v>
      </c>
      <c r="F172" s="10" t="inlineStr">
        <is>
          <t>تقدير</t>
        </is>
      </c>
      <c r="G172" s="10" t="inlineStr">
        <is>
          <t>تقدير</t>
        </is>
      </c>
      <c r="H172" s="10" t="inlineStr">
        <is>
          <t>لم تُفحص</t>
        </is>
      </c>
      <c r="I172" s="10" t="inlineStr">
        <is>
          <t>لم يُفحص</t>
        </is>
      </c>
      <c r="J172" s="13" t="n">
        <v>1.3</v>
      </c>
      <c r="K172" s="11" t="inlineStr">
        <is>
          <t>تقدير</t>
        </is>
      </c>
      <c r="L172" s="14" t="n">
        <v>0.08</v>
      </c>
      <c r="M172" s="10" t="inlineStr">
        <is>
          <t>صغير</t>
        </is>
      </c>
      <c r="N172" s="11" t="inlineStr">
        <is>
          <t>طوال السنة</t>
        </is>
      </c>
      <c r="O172" s="11" t="inlineStr">
        <is>
          <t>SABER</t>
        </is>
      </c>
      <c r="P172" s="15" t="n">
        <v>0.2</v>
      </c>
      <c r="Q172" s="14" t="n">
        <v>6</v>
      </c>
      <c r="R172" s="14" t="n">
        <v>50</v>
      </c>
      <c r="S172" s="16">
        <f>J172*'الافتراضات'!$B$2*(1+'الافتراضات'!$B$3)</f>
        <v/>
      </c>
      <c r="T172" s="16">
        <f>L172*'الافتراضات'!$B$4</f>
        <v/>
      </c>
      <c r="U172" s="16">
        <f>(S172+T172)*'الافتراضات'!$B$5</f>
        <v/>
      </c>
      <c r="V172" s="16">
        <f>S172+T172+U172</f>
        <v/>
      </c>
      <c r="W172" s="16">
        <f>MAX(1,E172*P172)</f>
        <v/>
      </c>
      <c r="X172" s="16">
        <f>E172*'الافتراضات'!$B$7</f>
        <v/>
      </c>
      <c r="Y172" s="16">
        <f>E172*'الافتراضات'!$B$8</f>
        <v/>
      </c>
      <c r="Z172" s="16">
        <f>E172/(1+'الافتراضات'!$B$6)</f>
        <v/>
      </c>
      <c r="AA172" s="16">
        <f>Z172-V172-W172-Q172-X172-Y172</f>
        <v/>
      </c>
      <c r="AB172" s="17">
        <f>IF(Z172=0,0,AA172/Z172)</f>
        <v/>
      </c>
      <c r="AC172" s="17">
        <f>IF(V172=0,0,AA172/V172)</f>
        <v/>
      </c>
      <c r="AD172" s="18">
        <f>R172*V172</f>
        <v/>
      </c>
      <c r="AE172" s="16">
        <f>IF(AB172&gt;='الافتراضات'!$B$9,IF(O172="لا","ابدأ به","جيد – يحتاج شهادة"),IF(AB172&gt;='الافتراضات'!$B$10,"مقبول","ضعيف"))</f>
        <v/>
      </c>
      <c r="AF172" s="16">
        <f>IF((1-'الافتراضات'!$B$9)/(1+'الافتراضات'!$B$6)-P172-'الافتراضات'!$B$7-'الافتراضات'!$B$8&lt;=0,0,(V172+Q172)/((1-'الافتراضات'!$B$9)/(1+'الافتراضات'!$B$6)-P172-'الافتراضات'!$B$7-'الافتراضات'!$B$8))</f>
        <v/>
      </c>
    </row>
    <row r="173">
      <c r="A173" s="10" t="n">
        <v>172</v>
      </c>
      <c r="B173" s="11" t="inlineStr">
        <is>
          <t>السيارات والدراجات</t>
        </is>
      </c>
      <c r="C173" s="11" t="inlineStr">
        <is>
          <t>مكنسة سيارة لاسلكية</t>
        </is>
      </c>
      <c r="D173" s="11" t="inlineStr">
        <is>
          <t>cordless car vacuum cleaner</t>
        </is>
      </c>
      <c r="E173" s="12" t="n">
        <v>79</v>
      </c>
      <c r="F173" s="10" t="inlineStr">
        <is>
          <t>تقدير</t>
        </is>
      </c>
      <c r="G173" s="10" t="inlineStr">
        <is>
          <t>تقدير</t>
        </is>
      </c>
      <c r="H173" s="10" t="inlineStr">
        <is>
          <t>لم تُفحص</t>
        </is>
      </c>
      <c r="I173" s="10" t="inlineStr">
        <is>
          <t>لم يُفحص</t>
        </is>
      </c>
      <c r="J173" s="13" t="n">
        <v>7</v>
      </c>
      <c r="K173" s="11" t="inlineStr">
        <is>
          <t>تقدير</t>
        </is>
      </c>
      <c r="L173" s="14" t="n">
        <v>0.8</v>
      </c>
      <c r="M173" s="10" t="inlineStr">
        <is>
          <t>متوسط</t>
        </is>
      </c>
      <c r="N173" s="11" t="inlineStr">
        <is>
          <t>طوال السنة</t>
        </is>
      </c>
      <c r="O173" s="11" t="inlineStr">
        <is>
          <t>SABER + بطارية ليثيوم</t>
        </is>
      </c>
      <c r="P173" s="15" t="n">
        <v>0.1</v>
      </c>
      <c r="Q173" s="14" t="n">
        <v>10</v>
      </c>
      <c r="R173" s="14" t="n">
        <v>50</v>
      </c>
      <c r="S173" s="16">
        <f>J173*'الافتراضات'!$B$2*(1+'الافتراضات'!$B$3)</f>
        <v/>
      </c>
      <c r="T173" s="16">
        <f>L173*'الافتراضات'!$B$4</f>
        <v/>
      </c>
      <c r="U173" s="16">
        <f>(S173+T173)*'الافتراضات'!$B$5</f>
        <v/>
      </c>
      <c r="V173" s="16">
        <f>S173+T173+U173</f>
        <v/>
      </c>
      <c r="W173" s="16">
        <f>MAX(1,E173*P173)</f>
        <v/>
      </c>
      <c r="X173" s="16">
        <f>E173*'الافتراضات'!$B$7</f>
        <v/>
      </c>
      <c r="Y173" s="16">
        <f>E173*'الافتراضات'!$B$8</f>
        <v/>
      </c>
      <c r="Z173" s="16">
        <f>E173/(1+'الافتراضات'!$B$6)</f>
        <v/>
      </c>
      <c r="AA173" s="16">
        <f>Z173-V173-W173-Q173-X173-Y173</f>
        <v/>
      </c>
      <c r="AB173" s="17">
        <f>IF(Z173=0,0,AA173/Z173)</f>
        <v/>
      </c>
      <c r="AC173" s="17">
        <f>IF(V173=0,0,AA173/V173)</f>
        <v/>
      </c>
      <c r="AD173" s="18">
        <f>R173*V173</f>
        <v/>
      </c>
      <c r="AE173" s="16">
        <f>IF(AB173&gt;='الافتراضات'!$B$9,IF(O173="لا","ابدأ به","جيد – يحتاج شهادة"),IF(AB173&gt;='الافتراضات'!$B$10,"مقبول","ضعيف"))</f>
        <v/>
      </c>
      <c r="AF173" s="16">
        <f>IF((1-'الافتراضات'!$B$9)/(1+'الافتراضات'!$B$6)-P173-'الافتراضات'!$B$7-'الافتراضات'!$B$8&lt;=0,0,(V173+Q173)/((1-'الافتراضات'!$B$9)/(1+'الافتراضات'!$B$6)-P173-'الافتراضات'!$B$7-'الافتراضات'!$B$8))</f>
        <v/>
      </c>
    </row>
    <row r="174">
      <c r="A174" s="10" t="n">
        <v>173</v>
      </c>
      <c r="B174" s="11" t="inlineStr">
        <is>
          <t>إكسسوارات الجوال والإلكترونيات</t>
        </is>
      </c>
      <c r="C174" s="11" t="inlineStr">
        <is>
          <t>حقيبة ظهر لابتوب مع منفذ USB</t>
        </is>
      </c>
      <c r="D174" s="11" t="inlineStr">
        <is>
          <t>laptop backpack usb charging</t>
        </is>
      </c>
      <c r="E174" s="12" t="n">
        <v>102</v>
      </c>
      <c r="F174" s="10" t="inlineStr">
        <is>
          <t>تقدير</t>
        </is>
      </c>
      <c r="G174" s="10" t="inlineStr">
        <is>
          <t>تقدير</t>
        </is>
      </c>
      <c r="H174" s="10" t="inlineStr">
        <is>
          <t>لم تُفحص</t>
        </is>
      </c>
      <c r="I174" s="10" t="inlineStr">
        <is>
          <t>لم يُفحص</t>
        </is>
      </c>
      <c r="J174" s="13" t="n">
        <v>9</v>
      </c>
      <c r="K174" s="11" t="inlineStr">
        <is>
          <t>تقدير</t>
        </is>
      </c>
      <c r="L174" s="14" t="n">
        <v>0.8</v>
      </c>
      <c r="M174" s="10" t="inlineStr">
        <is>
          <t>متوسط</t>
        </is>
      </c>
      <c r="N174" s="11" t="inlineStr">
        <is>
          <t>طوال السنة</t>
        </is>
      </c>
      <c r="O174" s="11" t="inlineStr">
        <is>
          <t>لا</t>
        </is>
      </c>
      <c r="P174" s="15" t="n">
        <v>0.15</v>
      </c>
      <c r="Q174" s="14" t="n">
        <v>10</v>
      </c>
      <c r="R174" s="14" t="n">
        <v>50</v>
      </c>
      <c r="S174" s="16">
        <f>J174*'الافتراضات'!$B$2*(1+'الافتراضات'!$B$3)</f>
        <v/>
      </c>
      <c r="T174" s="16">
        <f>L174*'الافتراضات'!$B$4</f>
        <v/>
      </c>
      <c r="U174" s="16">
        <f>(S174+T174)*'الافتراضات'!$B$5</f>
        <v/>
      </c>
      <c r="V174" s="16">
        <f>S174+T174+U174</f>
        <v/>
      </c>
      <c r="W174" s="16">
        <f>MAX(1,E174*P174)</f>
        <v/>
      </c>
      <c r="X174" s="16">
        <f>E174*'الافتراضات'!$B$7</f>
        <v/>
      </c>
      <c r="Y174" s="16">
        <f>E174*'الافتراضات'!$B$8</f>
        <v/>
      </c>
      <c r="Z174" s="16">
        <f>E174/(1+'الافتراضات'!$B$6)</f>
        <v/>
      </c>
      <c r="AA174" s="16">
        <f>Z174-V174-W174-Q174-X174-Y174</f>
        <v/>
      </c>
      <c r="AB174" s="17">
        <f>IF(Z174=0,0,AA174/Z174)</f>
        <v/>
      </c>
      <c r="AC174" s="17">
        <f>IF(V174=0,0,AA174/V174)</f>
        <v/>
      </c>
      <c r="AD174" s="18">
        <f>R174*V174</f>
        <v/>
      </c>
      <c r="AE174" s="16">
        <f>IF(AB174&gt;='الافتراضات'!$B$9,IF(O174="لا","ابدأ به","جيد – يحتاج شهادة"),IF(AB174&gt;='الافتراضات'!$B$10,"مقبول","ضعيف"))</f>
        <v/>
      </c>
      <c r="AF174" s="16">
        <f>IF((1-'الافتراضات'!$B$9)/(1+'الافتراضات'!$B$6)-P174-'الافتراضات'!$B$7-'الافتراضات'!$B$8&lt;=0,0,(V174+Q174)/((1-'الافتراضات'!$B$9)/(1+'الافتراضات'!$B$6)-P174-'الافتراضات'!$B$7-'الافتراضات'!$B$8))</f>
        <v/>
      </c>
    </row>
    <row r="175">
      <c r="A175" s="10" t="n">
        <v>174</v>
      </c>
      <c r="B175" s="11" t="inlineStr">
        <is>
          <t>المنزل والمطبخ</t>
        </is>
      </c>
      <c r="C175" s="11" t="inlineStr">
        <is>
          <t>مقص مطبخ متعدد الاستخدام</t>
        </is>
      </c>
      <c r="D175" s="11" t="inlineStr">
        <is>
          <t>kitchen scissors heavy duty</t>
        </is>
      </c>
      <c r="E175" s="12" t="n">
        <v>25</v>
      </c>
      <c r="F175" s="10" t="inlineStr">
        <is>
          <t>تقدير</t>
        </is>
      </c>
      <c r="G175" s="10" t="inlineStr">
        <is>
          <t>تقدير</t>
        </is>
      </c>
      <c r="H175" s="10" t="inlineStr">
        <is>
          <t>لم تُفحص</t>
        </is>
      </c>
      <c r="I175" s="10" t="inlineStr">
        <is>
          <t>لم يُفحص</t>
        </is>
      </c>
      <c r="J175" s="13" t="n">
        <v>1.2</v>
      </c>
      <c r="K175" s="11" t="inlineStr">
        <is>
          <t>تقدير</t>
        </is>
      </c>
      <c r="L175" s="14" t="n">
        <v>0.2</v>
      </c>
      <c r="M175" s="10" t="inlineStr">
        <is>
          <t>صغير</t>
        </is>
      </c>
      <c r="N175" s="11" t="inlineStr">
        <is>
          <t>طوال السنة</t>
        </is>
      </c>
      <c r="O175" s="11" t="inlineStr">
        <is>
          <t>ملامس للغذاء (SFDA)</t>
        </is>
      </c>
      <c r="P175" s="15" t="n">
        <v>0.14</v>
      </c>
      <c r="Q175" s="14" t="n">
        <v>7</v>
      </c>
      <c r="R175" s="14" t="n">
        <v>50</v>
      </c>
      <c r="S175" s="16">
        <f>J175*'الافتراضات'!$B$2*(1+'الافتراضات'!$B$3)</f>
        <v/>
      </c>
      <c r="T175" s="16">
        <f>L175*'الافتراضات'!$B$4</f>
        <v/>
      </c>
      <c r="U175" s="16">
        <f>(S175+T175)*'الافتراضات'!$B$5</f>
        <v/>
      </c>
      <c r="V175" s="16">
        <f>S175+T175+U175</f>
        <v/>
      </c>
      <c r="W175" s="16">
        <f>MAX(1,E175*P175)</f>
        <v/>
      </c>
      <c r="X175" s="16">
        <f>E175*'الافتراضات'!$B$7</f>
        <v/>
      </c>
      <c r="Y175" s="16">
        <f>E175*'الافتراضات'!$B$8</f>
        <v/>
      </c>
      <c r="Z175" s="16">
        <f>E175/(1+'الافتراضات'!$B$6)</f>
        <v/>
      </c>
      <c r="AA175" s="16">
        <f>Z175-V175-W175-Q175-X175-Y175</f>
        <v/>
      </c>
      <c r="AB175" s="17">
        <f>IF(Z175=0,0,AA175/Z175)</f>
        <v/>
      </c>
      <c r="AC175" s="17">
        <f>IF(V175=0,0,AA175/V175)</f>
        <v/>
      </c>
      <c r="AD175" s="18">
        <f>R175*V175</f>
        <v/>
      </c>
      <c r="AE175" s="16">
        <f>IF(AB175&gt;='الافتراضات'!$B$9,IF(O175="لا","ابدأ به","جيد – يحتاج شهادة"),IF(AB175&gt;='الافتراضات'!$B$10,"مقبول","ضعيف"))</f>
        <v/>
      </c>
      <c r="AF175" s="16">
        <f>IF((1-'الافتراضات'!$B$9)/(1+'الافتراضات'!$B$6)-P175-'الافتراضات'!$B$7-'الافتراضات'!$B$8&lt;=0,0,(V175+Q175)/((1-'الافتراضات'!$B$9)/(1+'الافتراضات'!$B$6)-P175-'الافتراضات'!$B$7-'الافتراضات'!$B$8))</f>
        <v/>
      </c>
    </row>
    <row r="176">
      <c r="A176" s="10" t="n">
        <v>175</v>
      </c>
      <c r="B176" s="11" t="inlineStr">
        <is>
          <t>الأطفال والألعاب</t>
        </is>
      </c>
      <c r="C176" s="11" t="inlineStr">
        <is>
          <t>بطاقات لعبة ذاكرة</t>
        </is>
      </c>
      <c r="D176" s="11" t="inlineStr">
        <is>
          <t>memory game cards kids</t>
        </is>
      </c>
      <c r="E176" s="12" t="n">
        <v>25</v>
      </c>
      <c r="F176" s="10" t="inlineStr">
        <is>
          <t>تقدير</t>
        </is>
      </c>
      <c r="G176" s="10" t="inlineStr">
        <is>
          <t>تقدير</t>
        </is>
      </c>
      <c r="H176" s="10" t="inlineStr">
        <is>
          <t>لم تُفحص</t>
        </is>
      </c>
      <c r="I176" s="10" t="inlineStr">
        <is>
          <t>لم يُفحص</t>
        </is>
      </c>
      <c r="J176" s="13" t="n">
        <v>1.2</v>
      </c>
      <c r="K176" s="11" t="inlineStr">
        <is>
          <t>تقدير</t>
        </is>
      </c>
      <c r="L176" s="14" t="n">
        <v>0.2</v>
      </c>
      <c r="M176" s="10" t="inlineStr">
        <is>
          <t>صغير</t>
        </is>
      </c>
      <c r="N176" s="11" t="inlineStr">
        <is>
          <t>طوال السنة</t>
        </is>
      </c>
      <c r="O176" s="11" t="inlineStr">
        <is>
          <t>اشتراطات سلامة الألعاب</t>
        </is>
      </c>
      <c r="P176" s="15" t="n">
        <v>0.14</v>
      </c>
      <c r="Q176" s="14" t="n">
        <v>7</v>
      </c>
      <c r="R176" s="14" t="n">
        <v>50</v>
      </c>
      <c r="S176" s="16">
        <f>J176*'الافتراضات'!$B$2*(1+'الافتراضات'!$B$3)</f>
        <v/>
      </c>
      <c r="T176" s="16">
        <f>L176*'الافتراضات'!$B$4</f>
        <v/>
      </c>
      <c r="U176" s="16">
        <f>(S176+T176)*'الافتراضات'!$B$5</f>
        <v/>
      </c>
      <c r="V176" s="16">
        <f>S176+T176+U176</f>
        <v/>
      </c>
      <c r="W176" s="16">
        <f>MAX(1,E176*P176)</f>
        <v/>
      </c>
      <c r="X176" s="16">
        <f>E176*'الافتراضات'!$B$7</f>
        <v/>
      </c>
      <c r="Y176" s="16">
        <f>E176*'الافتراضات'!$B$8</f>
        <v/>
      </c>
      <c r="Z176" s="16">
        <f>E176/(1+'الافتراضات'!$B$6)</f>
        <v/>
      </c>
      <c r="AA176" s="16">
        <f>Z176-V176-W176-Q176-X176-Y176</f>
        <v/>
      </c>
      <c r="AB176" s="17">
        <f>IF(Z176=0,0,AA176/Z176)</f>
        <v/>
      </c>
      <c r="AC176" s="17">
        <f>IF(V176=0,0,AA176/V176)</f>
        <v/>
      </c>
      <c r="AD176" s="18">
        <f>R176*V176</f>
        <v/>
      </c>
      <c r="AE176" s="16">
        <f>IF(AB176&gt;='الافتراضات'!$B$9,IF(O176="لا","ابدأ به","جيد – يحتاج شهادة"),IF(AB176&gt;='الافتراضات'!$B$10,"مقبول","ضعيف"))</f>
        <v/>
      </c>
      <c r="AF176" s="16">
        <f>IF((1-'الافتراضات'!$B$9)/(1+'الافتراضات'!$B$6)-P176-'الافتراضات'!$B$7-'الافتراضات'!$B$8&lt;=0,0,(V176+Q176)/((1-'الافتراضات'!$B$9)/(1+'الافتراضات'!$B$6)-P176-'الافتراضات'!$B$7-'الافتراضات'!$B$8))</f>
        <v/>
      </c>
    </row>
    <row r="177">
      <c r="A177" s="10" t="n">
        <v>176</v>
      </c>
      <c r="B177" s="11" t="inlineStr">
        <is>
          <t>الأدوات والصيانة</t>
        </is>
      </c>
      <c r="C177" s="11" t="inlineStr">
        <is>
          <t>حماية زوايا للأطفال</t>
        </is>
      </c>
      <c r="D177" s="11" t="inlineStr">
        <is>
          <t>baby corner protector</t>
        </is>
      </c>
      <c r="E177" s="12" t="n">
        <v>25</v>
      </c>
      <c r="F177" s="10" t="inlineStr">
        <is>
          <t>تقدير</t>
        </is>
      </c>
      <c r="G177" s="10" t="inlineStr">
        <is>
          <t>تقدير</t>
        </is>
      </c>
      <c r="H177" s="10" t="inlineStr">
        <is>
          <t>لم تُفحص</t>
        </is>
      </c>
      <c r="I177" s="10" t="inlineStr">
        <is>
          <t>لم يُفحص</t>
        </is>
      </c>
      <c r="J177" s="13" t="n">
        <v>1.2</v>
      </c>
      <c r="K177" s="11" t="inlineStr">
        <is>
          <t>تقدير</t>
        </is>
      </c>
      <c r="L177" s="14" t="n">
        <v>0.2</v>
      </c>
      <c r="M177" s="10" t="inlineStr">
        <is>
          <t>صغير</t>
        </is>
      </c>
      <c r="N177" s="11" t="inlineStr">
        <is>
          <t>طوال السنة</t>
        </is>
      </c>
      <c r="O177" s="11" t="inlineStr">
        <is>
          <t>لا</t>
        </is>
      </c>
      <c r="P177" s="15" t="n">
        <v>0.14</v>
      </c>
      <c r="Q177" s="14" t="n">
        <v>7</v>
      </c>
      <c r="R177" s="14" t="n">
        <v>50</v>
      </c>
      <c r="S177" s="16">
        <f>J177*'الافتراضات'!$B$2*(1+'الافتراضات'!$B$3)</f>
        <v/>
      </c>
      <c r="T177" s="16">
        <f>L177*'الافتراضات'!$B$4</f>
        <v/>
      </c>
      <c r="U177" s="16">
        <f>(S177+T177)*'الافتراضات'!$B$5</f>
        <v/>
      </c>
      <c r="V177" s="16">
        <f>S177+T177+U177</f>
        <v/>
      </c>
      <c r="W177" s="16">
        <f>MAX(1,E177*P177)</f>
        <v/>
      </c>
      <c r="X177" s="16">
        <f>E177*'الافتراضات'!$B$7</f>
        <v/>
      </c>
      <c r="Y177" s="16">
        <f>E177*'الافتراضات'!$B$8</f>
        <v/>
      </c>
      <c r="Z177" s="16">
        <f>E177/(1+'الافتراضات'!$B$6)</f>
        <v/>
      </c>
      <c r="AA177" s="16">
        <f>Z177-V177-W177-Q177-X177-Y177</f>
        <v/>
      </c>
      <c r="AB177" s="17">
        <f>IF(Z177=0,0,AA177/Z177)</f>
        <v/>
      </c>
      <c r="AC177" s="17">
        <f>IF(V177=0,0,AA177/V177)</f>
        <v/>
      </c>
      <c r="AD177" s="18">
        <f>R177*V177</f>
        <v/>
      </c>
      <c r="AE177" s="16">
        <f>IF(AB177&gt;='الافتراضات'!$B$9,IF(O177="لا","ابدأ به","جيد – يحتاج شهادة"),IF(AB177&gt;='الافتراضات'!$B$10,"مقبول","ضعيف"))</f>
        <v/>
      </c>
      <c r="AF177" s="16">
        <f>IF((1-'الافتراضات'!$B$9)/(1+'الافتراضات'!$B$6)-P177-'الافتراضات'!$B$7-'الافتراضات'!$B$8&lt;=0,0,(V177+Q177)/((1-'الافتراضات'!$B$9)/(1+'الافتراضات'!$B$6)-P177-'الافتراضات'!$B$7-'الافتراضات'!$B$8))</f>
        <v/>
      </c>
    </row>
    <row r="178">
      <c r="A178" s="10" t="n">
        <v>177</v>
      </c>
      <c r="B178" s="11" t="inlineStr">
        <is>
          <t>رمضان والمناسبات</t>
        </is>
      </c>
      <c r="C178" s="11" t="inlineStr">
        <is>
          <t>زينة رمضان معلقة للسقف</t>
        </is>
      </c>
      <c r="D178" s="11" t="inlineStr">
        <is>
          <t>ramadan hanging decoration banner</t>
        </is>
      </c>
      <c r="E178" s="12" t="n">
        <v>25</v>
      </c>
      <c r="F178" s="10" t="inlineStr">
        <is>
          <t>تقدير</t>
        </is>
      </c>
      <c r="G178" s="10" t="inlineStr">
        <is>
          <t>تقدير</t>
        </is>
      </c>
      <c r="H178" s="10" t="inlineStr">
        <is>
          <t>لم تُفحص</t>
        </is>
      </c>
      <c r="I178" s="10" t="inlineStr">
        <is>
          <t>لم يُفحص</t>
        </is>
      </c>
      <c r="J178" s="13" t="n">
        <v>1.2</v>
      </c>
      <c r="K178" s="11" t="inlineStr">
        <is>
          <t>تقدير</t>
        </is>
      </c>
      <c r="L178" s="14" t="n">
        <v>0.2</v>
      </c>
      <c r="M178" s="10" t="inlineStr">
        <is>
          <t>صغير</t>
        </is>
      </c>
      <c r="N178" s="11" t="inlineStr">
        <is>
          <t>رمضان والمناسبات</t>
        </is>
      </c>
      <c r="O178" s="11" t="inlineStr">
        <is>
          <t>لا</t>
        </is>
      </c>
      <c r="P178" s="15" t="n">
        <v>0.14</v>
      </c>
      <c r="Q178" s="14" t="n">
        <v>7</v>
      </c>
      <c r="R178" s="14" t="n">
        <v>50</v>
      </c>
      <c r="S178" s="16">
        <f>J178*'الافتراضات'!$B$2*(1+'الافتراضات'!$B$3)</f>
        <v/>
      </c>
      <c r="T178" s="16">
        <f>L178*'الافتراضات'!$B$4</f>
        <v/>
      </c>
      <c r="U178" s="16">
        <f>(S178+T178)*'الافتراضات'!$B$5</f>
        <v/>
      </c>
      <c r="V178" s="16">
        <f>S178+T178+U178</f>
        <v/>
      </c>
      <c r="W178" s="16">
        <f>MAX(1,E178*P178)</f>
        <v/>
      </c>
      <c r="X178" s="16">
        <f>E178*'الافتراضات'!$B$7</f>
        <v/>
      </c>
      <c r="Y178" s="16">
        <f>E178*'الافتراضات'!$B$8</f>
        <v/>
      </c>
      <c r="Z178" s="16">
        <f>E178/(1+'الافتراضات'!$B$6)</f>
        <v/>
      </c>
      <c r="AA178" s="16">
        <f>Z178-V178-W178-Q178-X178-Y178</f>
        <v/>
      </c>
      <c r="AB178" s="17">
        <f>IF(Z178=0,0,AA178/Z178)</f>
        <v/>
      </c>
      <c r="AC178" s="17">
        <f>IF(V178=0,0,AA178/V178)</f>
        <v/>
      </c>
      <c r="AD178" s="18">
        <f>R178*V178</f>
        <v/>
      </c>
      <c r="AE178" s="16">
        <f>IF(AB178&gt;='الافتراضات'!$B$9,IF(O178="لا","ابدأ به","جيد – يحتاج شهادة"),IF(AB178&gt;='الافتراضات'!$B$10,"مقبول","ضعيف"))</f>
        <v/>
      </c>
      <c r="AF178" s="16">
        <f>IF((1-'الافتراضات'!$B$9)/(1+'الافتراضات'!$B$6)-P178-'الافتراضات'!$B$7-'الافتراضات'!$B$8&lt;=0,0,(V178+Q178)/((1-'الافتراضات'!$B$9)/(1+'الافتراضات'!$B$6)-P178-'الافتراضات'!$B$7-'الافتراضات'!$B$8))</f>
        <v/>
      </c>
    </row>
    <row r="179">
      <c r="A179" s="10" t="n">
        <v>178</v>
      </c>
      <c r="B179" s="11" t="inlineStr">
        <is>
          <t>الأدوات والصيانة</t>
        </is>
      </c>
      <c r="C179" s="11" t="inlineStr">
        <is>
          <t>جهاز كشف أسلاك</t>
        </is>
      </c>
      <c r="D179" s="11" t="inlineStr">
        <is>
          <t>wire stud detector</t>
        </is>
      </c>
      <c r="E179" s="12" t="n">
        <v>68</v>
      </c>
      <c r="F179" s="10" t="inlineStr">
        <is>
          <t>تقدير</t>
        </is>
      </c>
      <c r="G179" s="10" t="inlineStr">
        <is>
          <t>تقدير</t>
        </is>
      </c>
      <c r="H179" s="10" t="inlineStr">
        <is>
          <t>لم تُفحص</t>
        </is>
      </c>
      <c r="I179" s="10" t="inlineStr">
        <is>
          <t>لم يُفحص</t>
        </is>
      </c>
      <c r="J179" s="13" t="n">
        <v>6</v>
      </c>
      <c r="K179" s="11" t="inlineStr">
        <is>
          <t>تقدير</t>
        </is>
      </c>
      <c r="L179" s="14" t="n">
        <v>0.3</v>
      </c>
      <c r="M179" s="10" t="inlineStr">
        <is>
          <t>صغير</t>
        </is>
      </c>
      <c r="N179" s="11" t="inlineStr">
        <is>
          <t>طوال السنة</t>
        </is>
      </c>
      <c r="O179" s="11" t="inlineStr">
        <is>
          <t>SABER + بطارية ليثيوم</t>
        </is>
      </c>
      <c r="P179" s="15" t="n">
        <v>0.14</v>
      </c>
      <c r="Q179" s="14" t="n">
        <v>9.5</v>
      </c>
      <c r="R179" s="14" t="n">
        <v>50</v>
      </c>
      <c r="S179" s="16">
        <f>J179*'الافتراضات'!$B$2*(1+'الافتراضات'!$B$3)</f>
        <v/>
      </c>
      <c r="T179" s="16">
        <f>L179*'الافتراضات'!$B$4</f>
        <v/>
      </c>
      <c r="U179" s="16">
        <f>(S179+T179)*'الافتراضات'!$B$5</f>
        <v/>
      </c>
      <c r="V179" s="16">
        <f>S179+T179+U179</f>
        <v/>
      </c>
      <c r="W179" s="16">
        <f>MAX(1,E179*P179)</f>
        <v/>
      </c>
      <c r="X179" s="16">
        <f>E179*'الافتراضات'!$B$7</f>
        <v/>
      </c>
      <c r="Y179" s="16">
        <f>E179*'الافتراضات'!$B$8</f>
        <v/>
      </c>
      <c r="Z179" s="16">
        <f>E179/(1+'الافتراضات'!$B$6)</f>
        <v/>
      </c>
      <c r="AA179" s="16">
        <f>Z179-V179-W179-Q179-X179-Y179</f>
        <v/>
      </c>
      <c r="AB179" s="17">
        <f>IF(Z179=0,0,AA179/Z179)</f>
        <v/>
      </c>
      <c r="AC179" s="17">
        <f>IF(V179=0,0,AA179/V179)</f>
        <v/>
      </c>
      <c r="AD179" s="18">
        <f>R179*V179</f>
        <v/>
      </c>
      <c r="AE179" s="16">
        <f>IF(AB179&gt;='الافتراضات'!$B$9,IF(O179="لا","ابدأ به","جيد – يحتاج شهادة"),IF(AB179&gt;='الافتراضات'!$B$10,"مقبول","ضعيف"))</f>
        <v/>
      </c>
      <c r="AF179" s="16">
        <f>IF((1-'الافتراضات'!$B$9)/(1+'الافتراضات'!$B$6)-P179-'الافتراضات'!$B$7-'الافتراضات'!$B$8&lt;=0,0,(V179+Q179)/((1-'الافتراضات'!$B$9)/(1+'الافتراضات'!$B$6)-P179-'الافتراضات'!$B$7-'الافتراضات'!$B$8))</f>
        <v/>
      </c>
    </row>
    <row r="180">
      <c r="A180" s="10" t="n">
        <v>179</v>
      </c>
      <c r="B180" s="11" t="inlineStr">
        <is>
          <t>الحيوانات الأليفة</t>
        </is>
      </c>
      <c r="C180" s="11" t="inlineStr">
        <is>
          <t>موزع طعام آلي للقطط</t>
        </is>
      </c>
      <c r="D180" s="11" t="inlineStr">
        <is>
          <t>automatic pet feeder</t>
        </is>
      </c>
      <c r="E180" s="12" t="n">
        <v>181</v>
      </c>
      <c r="F180" s="10" t="inlineStr">
        <is>
          <t>تقدير</t>
        </is>
      </c>
      <c r="G180" s="10" t="inlineStr">
        <is>
          <t>تقدير</t>
        </is>
      </c>
      <c r="H180" s="10" t="inlineStr">
        <is>
          <t>لم تُفحص</t>
        </is>
      </c>
      <c r="I180" s="10" t="inlineStr">
        <is>
          <t>لم يُفحص</t>
        </is>
      </c>
      <c r="J180" s="13" t="n">
        <v>16</v>
      </c>
      <c r="K180" s="11" t="inlineStr">
        <is>
          <t>تقدير</t>
        </is>
      </c>
      <c r="L180" s="14" t="n">
        <v>1.8</v>
      </c>
      <c r="M180" s="10" t="inlineStr">
        <is>
          <t>كبير</t>
        </is>
      </c>
      <c r="N180" s="11" t="inlineStr">
        <is>
          <t>طوال السنة</t>
        </is>
      </c>
      <c r="O180" s="11" t="inlineStr">
        <is>
          <t>SABER + بطارية ليثيوم</t>
        </is>
      </c>
      <c r="P180" s="15" t="n">
        <v>0.15</v>
      </c>
      <c r="Q180" s="14" t="n">
        <v>15</v>
      </c>
      <c r="R180" s="14" t="n">
        <v>50</v>
      </c>
      <c r="S180" s="16">
        <f>J180*'الافتراضات'!$B$2*(1+'الافتراضات'!$B$3)</f>
        <v/>
      </c>
      <c r="T180" s="16">
        <f>L180*'الافتراضات'!$B$4</f>
        <v/>
      </c>
      <c r="U180" s="16">
        <f>(S180+T180)*'الافتراضات'!$B$5</f>
        <v/>
      </c>
      <c r="V180" s="16">
        <f>S180+T180+U180</f>
        <v/>
      </c>
      <c r="W180" s="16">
        <f>MAX(1,E180*P180)</f>
        <v/>
      </c>
      <c r="X180" s="16">
        <f>E180*'الافتراضات'!$B$7</f>
        <v/>
      </c>
      <c r="Y180" s="16">
        <f>E180*'الافتراضات'!$B$8</f>
        <v/>
      </c>
      <c r="Z180" s="16">
        <f>E180/(1+'الافتراضات'!$B$6)</f>
        <v/>
      </c>
      <c r="AA180" s="16">
        <f>Z180-V180-W180-Q180-X180-Y180</f>
        <v/>
      </c>
      <c r="AB180" s="17">
        <f>IF(Z180=0,0,AA180/Z180)</f>
        <v/>
      </c>
      <c r="AC180" s="17">
        <f>IF(V180=0,0,AA180/V180)</f>
        <v/>
      </c>
      <c r="AD180" s="18">
        <f>R180*V180</f>
        <v/>
      </c>
      <c r="AE180" s="16">
        <f>IF(AB180&gt;='الافتراضات'!$B$9,IF(O180="لا","ابدأ به","جيد – يحتاج شهادة"),IF(AB180&gt;='الافتراضات'!$B$10,"مقبول","ضعيف"))</f>
        <v/>
      </c>
      <c r="AF180" s="16">
        <f>IF((1-'الافتراضات'!$B$9)/(1+'الافتراضات'!$B$6)-P180-'الافتراضات'!$B$7-'الافتراضات'!$B$8&lt;=0,0,(V180+Q180)/((1-'الافتراضات'!$B$9)/(1+'الافتراضات'!$B$6)-P180-'الافتراضات'!$B$7-'الافتراضات'!$B$8))</f>
        <v/>
      </c>
    </row>
    <row r="181">
      <c r="A181" s="10" t="n">
        <v>180</v>
      </c>
      <c r="B181" s="11" t="inlineStr">
        <is>
          <t>إكسسوارات الجوال والإلكترونيات</t>
        </is>
      </c>
      <c r="C181" s="11" t="inlineStr">
        <is>
          <t>ستاند تحكم ألعاب مع شاحن</t>
        </is>
      </c>
      <c r="D181" s="11" t="inlineStr">
        <is>
          <t>controller charging dock</t>
        </is>
      </c>
      <c r="E181" s="12" t="n">
        <v>68</v>
      </c>
      <c r="F181" s="10" t="inlineStr">
        <is>
          <t>تقدير</t>
        </is>
      </c>
      <c r="G181" s="10" t="inlineStr">
        <is>
          <t>تقدير</t>
        </is>
      </c>
      <c r="H181" s="10" t="inlineStr">
        <is>
          <t>لم تُفحص</t>
        </is>
      </c>
      <c r="I181" s="10" t="inlineStr">
        <is>
          <t>لم يُفحص</t>
        </is>
      </c>
      <c r="J181" s="13" t="n">
        <v>6</v>
      </c>
      <c r="K181" s="11" t="inlineStr">
        <is>
          <t>تقدير</t>
        </is>
      </c>
      <c r="L181" s="14" t="n">
        <v>0.4</v>
      </c>
      <c r="M181" s="10" t="inlineStr">
        <is>
          <t>متوسط</t>
        </is>
      </c>
      <c r="N181" s="11" t="inlineStr">
        <is>
          <t>طوال السنة</t>
        </is>
      </c>
      <c r="O181" s="11" t="inlineStr">
        <is>
          <t>SABER</t>
        </is>
      </c>
      <c r="P181" s="15" t="n">
        <v>0.13</v>
      </c>
      <c r="Q181" s="14" t="n">
        <v>9.5</v>
      </c>
      <c r="R181" s="14" t="n">
        <v>50</v>
      </c>
      <c r="S181" s="16">
        <f>J181*'الافتراضات'!$B$2*(1+'الافتراضات'!$B$3)</f>
        <v/>
      </c>
      <c r="T181" s="16">
        <f>L181*'الافتراضات'!$B$4</f>
        <v/>
      </c>
      <c r="U181" s="16">
        <f>(S181+T181)*'الافتراضات'!$B$5</f>
        <v/>
      </c>
      <c r="V181" s="16">
        <f>S181+T181+U181</f>
        <v/>
      </c>
      <c r="W181" s="16">
        <f>MAX(1,E181*P181)</f>
        <v/>
      </c>
      <c r="X181" s="16">
        <f>E181*'الافتراضات'!$B$7</f>
        <v/>
      </c>
      <c r="Y181" s="16">
        <f>E181*'الافتراضات'!$B$8</f>
        <v/>
      </c>
      <c r="Z181" s="16">
        <f>E181/(1+'الافتراضات'!$B$6)</f>
        <v/>
      </c>
      <c r="AA181" s="16">
        <f>Z181-V181-W181-Q181-X181-Y181</f>
        <v/>
      </c>
      <c r="AB181" s="17">
        <f>IF(Z181=0,0,AA181/Z181)</f>
        <v/>
      </c>
      <c r="AC181" s="17">
        <f>IF(V181=0,0,AA181/V181)</f>
        <v/>
      </c>
      <c r="AD181" s="18">
        <f>R181*V181</f>
        <v/>
      </c>
      <c r="AE181" s="16">
        <f>IF(AB181&gt;='الافتراضات'!$B$9,IF(O181="لا","ابدأ به","جيد – يحتاج شهادة"),IF(AB181&gt;='الافتراضات'!$B$10,"مقبول","ضعيف"))</f>
        <v/>
      </c>
      <c r="AF181" s="16">
        <f>IF((1-'الافتراضات'!$B$9)/(1+'الافتراضات'!$B$6)-P181-'الافتراضات'!$B$7-'الافتراضات'!$B$8&lt;=0,0,(V181+Q181)/((1-'الافتراضات'!$B$9)/(1+'الافتراضات'!$B$6)-P181-'الافتراضات'!$B$7-'الافتراضات'!$B$8))</f>
        <v/>
      </c>
    </row>
    <row r="182">
      <c r="A182" s="10" t="n">
        <v>181</v>
      </c>
      <c r="B182" s="11" t="inlineStr">
        <is>
          <t>الرياضة واللياقة</t>
        </is>
      </c>
      <c r="C182" s="11" t="inlineStr">
        <is>
          <t>حزام جري للجوال</t>
        </is>
      </c>
      <c r="D182" s="11" t="inlineStr">
        <is>
          <t>running belt waist pack</t>
        </is>
      </c>
      <c r="E182" s="12" t="n">
        <v>25</v>
      </c>
      <c r="F182" s="10" t="inlineStr">
        <is>
          <t>تقدير</t>
        </is>
      </c>
      <c r="G182" s="10" t="inlineStr">
        <is>
          <t>تقدير</t>
        </is>
      </c>
      <c r="H182" s="10" t="inlineStr">
        <is>
          <t>لم تُفحص</t>
        </is>
      </c>
      <c r="I182" s="10" t="inlineStr">
        <is>
          <t>لم يُفحص</t>
        </is>
      </c>
      <c r="J182" s="13" t="n">
        <v>1.3</v>
      </c>
      <c r="K182" s="11" t="inlineStr">
        <is>
          <t>تقدير</t>
        </is>
      </c>
      <c r="L182" s="14" t="n">
        <v>0.1</v>
      </c>
      <c r="M182" s="10" t="inlineStr">
        <is>
          <t>صغير</t>
        </is>
      </c>
      <c r="N182" s="11" t="inlineStr">
        <is>
          <t>طوال السنة</t>
        </is>
      </c>
      <c r="O182" s="11" t="inlineStr">
        <is>
          <t>لا</t>
        </is>
      </c>
      <c r="P182" s="15" t="n">
        <v>0.2</v>
      </c>
      <c r="Q182" s="14" t="n">
        <v>6</v>
      </c>
      <c r="R182" s="14" t="n">
        <v>50</v>
      </c>
      <c r="S182" s="16">
        <f>J182*'الافتراضات'!$B$2*(1+'الافتراضات'!$B$3)</f>
        <v/>
      </c>
      <c r="T182" s="16">
        <f>L182*'الافتراضات'!$B$4</f>
        <v/>
      </c>
      <c r="U182" s="16">
        <f>(S182+T182)*'الافتراضات'!$B$5</f>
        <v/>
      </c>
      <c r="V182" s="16">
        <f>S182+T182+U182</f>
        <v/>
      </c>
      <c r="W182" s="16">
        <f>MAX(1,E182*P182)</f>
        <v/>
      </c>
      <c r="X182" s="16">
        <f>E182*'الافتراضات'!$B$7</f>
        <v/>
      </c>
      <c r="Y182" s="16">
        <f>E182*'الافتراضات'!$B$8</f>
        <v/>
      </c>
      <c r="Z182" s="16">
        <f>E182/(1+'الافتراضات'!$B$6)</f>
        <v/>
      </c>
      <c r="AA182" s="16">
        <f>Z182-V182-W182-Q182-X182-Y182</f>
        <v/>
      </c>
      <c r="AB182" s="17">
        <f>IF(Z182=0,0,AA182/Z182)</f>
        <v/>
      </c>
      <c r="AC182" s="17">
        <f>IF(V182=0,0,AA182/V182)</f>
        <v/>
      </c>
      <c r="AD182" s="18">
        <f>R182*V182</f>
        <v/>
      </c>
      <c r="AE182" s="16">
        <f>IF(AB182&gt;='الافتراضات'!$B$9,IF(O182="لا","ابدأ به","جيد – يحتاج شهادة"),IF(AB182&gt;='الافتراضات'!$B$10,"مقبول","ضعيف"))</f>
        <v/>
      </c>
      <c r="AF182" s="16">
        <f>IF((1-'الافتراضات'!$B$9)/(1+'الافتراضات'!$B$6)-P182-'الافتراضات'!$B$7-'الافتراضات'!$B$8&lt;=0,0,(V182+Q182)/((1-'الافتراضات'!$B$9)/(1+'الافتراضات'!$B$6)-P182-'الافتراضات'!$B$7-'الافتراضات'!$B$8))</f>
        <v/>
      </c>
    </row>
    <row r="183">
      <c r="A183" s="10" t="n">
        <v>182</v>
      </c>
      <c r="B183" s="11" t="inlineStr">
        <is>
          <t>الرياضة واللياقة</t>
        </is>
      </c>
      <c r="C183" s="11" t="inlineStr">
        <is>
          <t>أكياس الملاكمة</t>
        </is>
      </c>
      <c r="D183" s="11" t="inlineStr">
        <is>
          <t>boxing gloves training</t>
        </is>
      </c>
      <c r="E183" s="12" t="n">
        <v>79</v>
      </c>
      <c r="F183" s="10" t="inlineStr">
        <is>
          <t>تقدير</t>
        </is>
      </c>
      <c r="G183" s="10" t="inlineStr">
        <is>
          <t>تقدير</t>
        </is>
      </c>
      <c r="H183" s="10" t="inlineStr">
        <is>
          <t>لم تُفحص</t>
        </is>
      </c>
      <c r="I183" s="10" t="inlineStr">
        <is>
          <t>لم يُفحص</t>
        </is>
      </c>
      <c r="J183" s="13" t="n">
        <v>7</v>
      </c>
      <c r="K183" s="11" t="inlineStr">
        <is>
          <t>تقدير</t>
        </is>
      </c>
      <c r="L183" s="14" t="n">
        <v>0.6</v>
      </c>
      <c r="M183" s="10" t="inlineStr">
        <is>
          <t>متوسط</t>
        </is>
      </c>
      <c r="N183" s="11" t="inlineStr">
        <is>
          <t>طوال السنة</t>
        </is>
      </c>
      <c r="O183" s="11" t="inlineStr">
        <is>
          <t>لا</t>
        </is>
      </c>
      <c r="P183" s="15" t="n">
        <v>0.13</v>
      </c>
      <c r="Q183" s="14" t="n">
        <v>10</v>
      </c>
      <c r="R183" s="14" t="n">
        <v>50</v>
      </c>
      <c r="S183" s="16">
        <f>J183*'الافتراضات'!$B$2*(1+'الافتراضات'!$B$3)</f>
        <v/>
      </c>
      <c r="T183" s="16">
        <f>L183*'الافتراضات'!$B$4</f>
        <v/>
      </c>
      <c r="U183" s="16">
        <f>(S183+T183)*'الافتراضات'!$B$5</f>
        <v/>
      </c>
      <c r="V183" s="16">
        <f>S183+T183+U183</f>
        <v/>
      </c>
      <c r="W183" s="16">
        <f>MAX(1,E183*P183)</f>
        <v/>
      </c>
      <c r="X183" s="16">
        <f>E183*'الافتراضات'!$B$7</f>
        <v/>
      </c>
      <c r="Y183" s="16">
        <f>E183*'الافتراضات'!$B$8</f>
        <v/>
      </c>
      <c r="Z183" s="16">
        <f>E183/(1+'الافتراضات'!$B$6)</f>
        <v/>
      </c>
      <c r="AA183" s="16">
        <f>Z183-V183-W183-Q183-X183-Y183</f>
        <v/>
      </c>
      <c r="AB183" s="17">
        <f>IF(Z183=0,0,AA183/Z183)</f>
        <v/>
      </c>
      <c r="AC183" s="17">
        <f>IF(V183=0,0,AA183/V183)</f>
        <v/>
      </c>
      <c r="AD183" s="18">
        <f>R183*V183</f>
        <v/>
      </c>
      <c r="AE183" s="16">
        <f>IF(AB183&gt;='الافتراضات'!$B$9,IF(O183="لا","ابدأ به","جيد – يحتاج شهادة"),IF(AB183&gt;='الافتراضات'!$B$10,"مقبول","ضعيف"))</f>
        <v/>
      </c>
      <c r="AF183" s="16">
        <f>IF((1-'الافتراضات'!$B$9)/(1+'الافتراضات'!$B$6)-P183-'الافتراضات'!$B$7-'الافتراضات'!$B$8&lt;=0,0,(V183+Q183)/((1-'الافتراضات'!$B$9)/(1+'الافتراضات'!$B$6)-P183-'الافتراضات'!$B$7-'الافتراضات'!$B$8))</f>
        <v/>
      </c>
    </row>
    <row r="184">
      <c r="A184" s="10" t="n">
        <v>183</v>
      </c>
      <c r="B184" s="11" t="inlineStr">
        <is>
          <t>إكسسوارات الجوال والإلكترونيات</t>
        </is>
      </c>
      <c r="C184" s="11" t="inlineStr">
        <is>
          <t>ماوس عمودي مريح</t>
        </is>
      </c>
      <c r="D184" s="11" t="inlineStr">
        <is>
          <t>ergonomic vertical wireless mouse</t>
        </is>
      </c>
      <c r="E184" s="12" t="n">
        <v>57</v>
      </c>
      <c r="F184" s="10" t="inlineStr">
        <is>
          <t>تقدير</t>
        </is>
      </c>
      <c r="G184" s="10" t="inlineStr">
        <is>
          <t>تقدير</t>
        </is>
      </c>
      <c r="H184" s="10" t="inlineStr">
        <is>
          <t>لم تُفحص</t>
        </is>
      </c>
      <c r="I184" s="10" t="inlineStr">
        <is>
          <t>لم يُفحص</t>
        </is>
      </c>
      <c r="J184" s="13" t="n">
        <v>5</v>
      </c>
      <c r="K184" s="11" t="inlineStr">
        <is>
          <t>تقدير</t>
        </is>
      </c>
      <c r="L184" s="14" t="n">
        <v>0.25</v>
      </c>
      <c r="M184" s="10" t="inlineStr">
        <is>
          <t>متوسط</t>
        </is>
      </c>
      <c r="N184" s="11" t="inlineStr">
        <is>
          <t>طوال السنة</t>
        </is>
      </c>
      <c r="O184" s="11" t="inlineStr">
        <is>
          <t>SABER + بطارية ليثيوم</t>
        </is>
      </c>
      <c r="P184" s="15" t="n">
        <v>0.13</v>
      </c>
      <c r="Q184" s="14" t="n">
        <v>9</v>
      </c>
      <c r="R184" s="14" t="n">
        <v>50</v>
      </c>
      <c r="S184" s="16">
        <f>J184*'الافتراضات'!$B$2*(1+'الافتراضات'!$B$3)</f>
        <v/>
      </c>
      <c r="T184" s="16">
        <f>L184*'الافتراضات'!$B$4</f>
        <v/>
      </c>
      <c r="U184" s="16">
        <f>(S184+T184)*'الافتراضات'!$B$5</f>
        <v/>
      </c>
      <c r="V184" s="16">
        <f>S184+T184+U184</f>
        <v/>
      </c>
      <c r="W184" s="16">
        <f>MAX(1,E184*P184)</f>
        <v/>
      </c>
      <c r="X184" s="16">
        <f>E184*'الافتراضات'!$B$7</f>
        <v/>
      </c>
      <c r="Y184" s="16">
        <f>E184*'الافتراضات'!$B$8</f>
        <v/>
      </c>
      <c r="Z184" s="16">
        <f>E184/(1+'الافتراضات'!$B$6)</f>
        <v/>
      </c>
      <c r="AA184" s="16">
        <f>Z184-V184-W184-Q184-X184-Y184</f>
        <v/>
      </c>
      <c r="AB184" s="17">
        <f>IF(Z184=0,0,AA184/Z184)</f>
        <v/>
      </c>
      <c r="AC184" s="17">
        <f>IF(V184=0,0,AA184/V184)</f>
        <v/>
      </c>
      <c r="AD184" s="18">
        <f>R184*V184</f>
        <v/>
      </c>
      <c r="AE184" s="16">
        <f>IF(AB184&gt;='الافتراضات'!$B$9,IF(O184="لا","ابدأ به","جيد – يحتاج شهادة"),IF(AB184&gt;='الافتراضات'!$B$10,"مقبول","ضعيف"))</f>
        <v/>
      </c>
      <c r="AF184" s="16">
        <f>IF((1-'الافتراضات'!$B$9)/(1+'الافتراضات'!$B$6)-P184-'الافتراضات'!$B$7-'الافتراضات'!$B$8&lt;=0,0,(V184+Q184)/((1-'الافتراضات'!$B$9)/(1+'الافتراضات'!$B$6)-P184-'الافتراضات'!$B$7-'الافتراضات'!$B$8))</f>
        <v/>
      </c>
    </row>
    <row r="185">
      <c r="A185" s="10" t="n">
        <v>184</v>
      </c>
      <c r="B185" s="11" t="inlineStr">
        <is>
          <t>الرياضة واللياقة</t>
        </is>
      </c>
      <c r="C185" s="11" t="inlineStr">
        <is>
          <t>ساعة توقيت رياضية</t>
        </is>
      </c>
      <c r="D185" s="11" t="inlineStr">
        <is>
          <t>sports stopwatch</t>
        </is>
      </c>
      <c r="E185" s="12" t="n">
        <v>25</v>
      </c>
      <c r="F185" s="10" t="inlineStr">
        <is>
          <t>تقدير</t>
        </is>
      </c>
      <c r="G185" s="10" t="inlineStr">
        <is>
          <t>تقدير</t>
        </is>
      </c>
      <c r="H185" s="10" t="inlineStr">
        <is>
          <t>لم تُفحص</t>
        </is>
      </c>
      <c r="I185" s="10" t="inlineStr">
        <is>
          <t>لم يُفحص</t>
        </is>
      </c>
      <c r="J185" s="13" t="n">
        <v>1.4</v>
      </c>
      <c r="K185" s="11" t="inlineStr">
        <is>
          <t>تقدير</t>
        </is>
      </c>
      <c r="L185" s="14" t="n">
        <v>0.06</v>
      </c>
      <c r="M185" s="10" t="inlineStr">
        <is>
          <t>صغير</t>
        </is>
      </c>
      <c r="N185" s="11" t="inlineStr">
        <is>
          <t>طوال السنة</t>
        </is>
      </c>
      <c r="O185" s="11" t="inlineStr">
        <is>
          <t>SABER + بطارية ليثيوم</t>
        </is>
      </c>
      <c r="P185" s="15" t="n">
        <v>0.2</v>
      </c>
      <c r="Q185" s="14" t="n">
        <v>6</v>
      </c>
      <c r="R185" s="14" t="n">
        <v>50</v>
      </c>
      <c r="S185" s="16">
        <f>J185*'الافتراضات'!$B$2*(1+'الافتراضات'!$B$3)</f>
        <v/>
      </c>
      <c r="T185" s="16">
        <f>L185*'الافتراضات'!$B$4</f>
        <v/>
      </c>
      <c r="U185" s="16">
        <f>(S185+T185)*'الافتراضات'!$B$5</f>
        <v/>
      </c>
      <c r="V185" s="16">
        <f>S185+T185+U185</f>
        <v/>
      </c>
      <c r="W185" s="16">
        <f>MAX(1,E185*P185)</f>
        <v/>
      </c>
      <c r="X185" s="16">
        <f>E185*'الافتراضات'!$B$7</f>
        <v/>
      </c>
      <c r="Y185" s="16">
        <f>E185*'الافتراضات'!$B$8</f>
        <v/>
      </c>
      <c r="Z185" s="16">
        <f>E185/(1+'الافتراضات'!$B$6)</f>
        <v/>
      </c>
      <c r="AA185" s="16">
        <f>Z185-V185-W185-Q185-X185-Y185</f>
        <v/>
      </c>
      <c r="AB185" s="17">
        <f>IF(Z185=0,0,AA185/Z185)</f>
        <v/>
      </c>
      <c r="AC185" s="17">
        <f>IF(V185=0,0,AA185/V185)</f>
        <v/>
      </c>
      <c r="AD185" s="18">
        <f>R185*V185</f>
        <v/>
      </c>
      <c r="AE185" s="16">
        <f>IF(AB185&gt;='الافتراضات'!$B$9,IF(O185="لا","ابدأ به","جيد – يحتاج شهادة"),IF(AB185&gt;='الافتراضات'!$B$10,"مقبول","ضعيف"))</f>
        <v/>
      </c>
      <c r="AF185" s="16">
        <f>IF((1-'الافتراضات'!$B$9)/(1+'الافتراضات'!$B$6)-P185-'الافتراضات'!$B$7-'الافتراضات'!$B$8&lt;=0,0,(V185+Q185)/((1-'الافتراضات'!$B$9)/(1+'الافتراضات'!$B$6)-P185-'الافتراضات'!$B$7-'الافتراضات'!$B$8))</f>
        <v/>
      </c>
    </row>
    <row r="186">
      <c r="A186" s="10" t="n">
        <v>185</v>
      </c>
      <c r="B186" s="11" t="inlineStr">
        <is>
          <t>الأطفال والألعاب</t>
        </is>
      </c>
      <c r="C186" s="11" t="inlineStr">
        <is>
          <t>ميزان حرارة أذن للأطفال</t>
        </is>
      </c>
      <c r="D186" s="11" t="inlineStr">
        <is>
          <t>ear thermometer infrared</t>
        </is>
      </c>
      <c r="E186" s="12" t="n">
        <v>57</v>
      </c>
      <c r="F186" s="10" t="inlineStr">
        <is>
          <t>تقدير</t>
        </is>
      </c>
      <c r="G186" s="10" t="inlineStr">
        <is>
          <t>تقدير</t>
        </is>
      </c>
      <c r="H186" s="10" t="inlineStr">
        <is>
          <t>لم تُفحص</t>
        </is>
      </c>
      <c r="I186" s="10" t="inlineStr">
        <is>
          <t>لم يُفحص</t>
        </is>
      </c>
      <c r="J186" s="13" t="n">
        <v>5</v>
      </c>
      <c r="K186" s="11" t="inlineStr">
        <is>
          <t>تقدير</t>
        </is>
      </c>
      <c r="L186" s="14" t="n">
        <v>0.2</v>
      </c>
      <c r="M186" s="10" t="inlineStr">
        <is>
          <t>صغير</t>
        </is>
      </c>
      <c r="N186" s="11" t="inlineStr">
        <is>
          <t>طوال السنة</t>
        </is>
      </c>
      <c r="O186" s="11" t="inlineStr">
        <is>
          <t>تحقق من اللوائح</t>
        </is>
      </c>
      <c r="P186" s="15" t="n">
        <v>0.14</v>
      </c>
      <c r="Q186" s="14" t="n">
        <v>9</v>
      </c>
      <c r="R186" s="14" t="n">
        <v>50</v>
      </c>
      <c r="S186" s="16">
        <f>J186*'الافتراضات'!$B$2*(1+'الافتراضات'!$B$3)</f>
        <v/>
      </c>
      <c r="T186" s="16">
        <f>L186*'الافتراضات'!$B$4</f>
        <v/>
      </c>
      <c r="U186" s="16">
        <f>(S186+T186)*'الافتراضات'!$B$5</f>
        <v/>
      </c>
      <c r="V186" s="16">
        <f>S186+T186+U186</f>
        <v/>
      </c>
      <c r="W186" s="16">
        <f>MAX(1,E186*P186)</f>
        <v/>
      </c>
      <c r="X186" s="16">
        <f>E186*'الافتراضات'!$B$7</f>
        <v/>
      </c>
      <c r="Y186" s="16">
        <f>E186*'الافتراضات'!$B$8</f>
        <v/>
      </c>
      <c r="Z186" s="16">
        <f>E186/(1+'الافتراضات'!$B$6)</f>
        <v/>
      </c>
      <c r="AA186" s="16">
        <f>Z186-V186-W186-Q186-X186-Y186</f>
        <v/>
      </c>
      <c r="AB186" s="17">
        <f>IF(Z186=0,0,AA186/Z186)</f>
        <v/>
      </c>
      <c r="AC186" s="17">
        <f>IF(V186=0,0,AA186/V186)</f>
        <v/>
      </c>
      <c r="AD186" s="18">
        <f>R186*V186</f>
        <v/>
      </c>
      <c r="AE186" s="16">
        <f>IF(AB186&gt;='الافتراضات'!$B$9,IF(O186="لا","ابدأ به","جيد – يحتاج شهادة"),IF(AB186&gt;='الافتراضات'!$B$10,"مقبول","ضعيف"))</f>
        <v/>
      </c>
      <c r="AF186" s="16">
        <f>IF((1-'الافتراضات'!$B$9)/(1+'الافتراضات'!$B$6)-P186-'الافتراضات'!$B$7-'الافتراضات'!$B$8&lt;=0,0,(V186+Q186)/((1-'الافتراضات'!$B$9)/(1+'الافتراضات'!$B$6)-P186-'الافتراضات'!$B$7-'الافتراضات'!$B$8))</f>
        <v/>
      </c>
    </row>
    <row r="187">
      <c r="A187" s="10" t="n">
        <v>186</v>
      </c>
      <c r="B187" s="11" t="inlineStr">
        <is>
          <t>الأطفال والألعاب</t>
        </is>
      </c>
      <c r="C187" s="11" t="inlineStr">
        <is>
          <t>سيارة ركوب كهربائية للأطفال</t>
        </is>
      </c>
      <c r="D187" s="11" t="inlineStr">
        <is>
          <t>kids ride on car electric</t>
        </is>
      </c>
      <c r="E187" s="12" t="n">
        <v>679</v>
      </c>
      <c r="F187" s="10" t="inlineStr">
        <is>
          <t>تقدير</t>
        </is>
      </c>
      <c r="G187" s="10" t="inlineStr">
        <is>
          <t>تقدير</t>
        </is>
      </c>
      <c r="H187" s="10" t="inlineStr">
        <is>
          <t>لم تُفحص</t>
        </is>
      </c>
      <c r="I187" s="10" t="inlineStr">
        <is>
          <t>لم يُفحص</t>
        </is>
      </c>
      <c r="J187" s="13" t="n">
        <v>60</v>
      </c>
      <c r="K187" s="11" t="inlineStr">
        <is>
          <t>تقدير</t>
        </is>
      </c>
      <c r="L187" s="14" t="n">
        <v>12</v>
      </c>
      <c r="M187" s="10" t="inlineStr">
        <is>
          <t>كبير</t>
        </is>
      </c>
      <c r="N187" s="11" t="inlineStr">
        <is>
          <t>طوال السنة</t>
        </is>
      </c>
      <c r="O187" s="11" t="inlineStr">
        <is>
          <t>تحقق من اللوائح</t>
        </is>
      </c>
      <c r="P187" s="15" t="n">
        <v>0.14</v>
      </c>
      <c r="Q187" s="14" t="n">
        <v>25</v>
      </c>
      <c r="R187" s="14" t="n">
        <v>50</v>
      </c>
      <c r="S187" s="16">
        <f>J187*'الافتراضات'!$B$2*(1+'الافتراضات'!$B$3)</f>
        <v/>
      </c>
      <c r="T187" s="16">
        <f>L187*'الافتراضات'!$B$4</f>
        <v/>
      </c>
      <c r="U187" s="16">
        <f>(S187+T187)*'الافتراضات'!$B$5</f>
        <v/>
      </c>
      <c r="V187" s="16">
        <f>S187+T187+U187</f>
        <v/>
      </c>
      <c r="W187" s="16">
        <f>MAX(1,E187*P187)</f>
        <v/>
      </c>
      <c r="X187" s="16">
        <f>E187*'الافتراضات'!$B$7</f>
        <v/>
      </c>
      <c r="Y187" s="16">
        <f>E187*'الافتراضات'!$B$8</f>
        <v/>
      </c>
      <c r="Z187" s="16">
        <f>E187/(1+'الافتراضات'!$B$6)</f>
        <v/>
      </c>
      <c r="AA187" s="16">
        <f>Z187-V187-W187-Q187-X187-Y187</f>
        <v/>
      </c>
      <c r="AB187" s="17">
        <f>IF(Z187=0,0,AA187/Z187)</f>
        <v/>
      </c>
      <c r="AC187" s="17">
        <f>IF(V187=0,0,AA187/V187)</f>
        <v/>
      </c>
      <c r="AD187" s="18">
        <f>R187*V187</f>
        <v/>
      </c>
      <c r="AE187" s="16">
        <f>IF(AB187&gt;='الافتراضات'!$B$9,IF(O187="لا","ابدأ به","جيد – يحتاج شهادة"),IF(AB187&gt;='الافتراضات'!$B$10,"مقبول","ضعيف"))</f>
        <v/>
      </c>
      <c r="AF187" s="16">
        <f>IF((1-'الافتراضات'!$B$9)/(1+'الافتراضات'!$B$6)-P187-'الافتراضات'!$B$7-'الافتراضات'!$B$8&lt;=0,0,(V187+Q187)/((1-'الافتراضات'!$B$9)/(1+'الافتراضات'!$B$6)-P187-'الافتراضات'!$B$7-'الافتراضات'!$B$8))</f>
        <v/>
      </c>
    </row>
    <row r="188">
      <c r="A188" s="10" t="n">
        <v>187</v>
      </c>
      <c r="B188" s="11" t="inlineStr">
        <is>
          <t>المنزل والمطبخ</t>
        </is>
      </c>
      <c r="C188" s="11" t="inlineStr">
        <is>
          <t>عجانة كهربائية</t>
        </is>
      </c>
      <c r="D188" s="11" t="inlineStr">
        <is>
          <t>stand mixer 5L</t>
        </is>
      </c>
      <c r="E188" s="12" t="n">
        <v>396</v>
      </c>
      <c r="F188" s="10" t="inlineStr">
        <is>
          <t>تقدير</t>
        </is>
      </c>
      <c r="G188" s="10" t="inlineStr">
        <is>
          <t>تقدير</t>
        </is>
      </c>
      <c r="H188" s="10" t="inlineStr">
        <is>
          <t>لم تُفحص</t>
        </is>
      </c>
      <c r="I188" s="10" t="inlineStr">
        <is>
          <t>لم يُفحص</t>
        </is>
      </c>
      <c r="J188" s="13" t="n">
        <v>35</v>
      </c>
      <c r="K188" s="11" t="inlineStr">
        <is>
          <t>تقدير</t>
        </is>
      </c>
      <c r="L188" s="14" t="n">
        <v>6</v>
      </c>
      <c r="M188" s="10" t="inlineStr">
        <is>
          <t>كبير</t>
        </is>
      </c>
      <c r="N188" s="11" t="inlineStr">
        <is>
          <t>طوال السنة</t>
        </is>
      </c>
      <c r="O188" s="11" t="inlineStr">
        <is>
          <t>SABER</t>
        </is>
      </c>
      <c r="P188" s="15" t="n">
        <v>0.15</v>
      </c>
      <c r="Q188" s="14" t="n">
        <v>19</v>
      </c>
      <c r="R188" s="14" t="n">
        <v>50</v>
      </c>
      <c r="S188" s="16">
        <f>J188*'الافتراضات'!$B$2*(1+'الافتراضات'!$B$3)</f>
        <v/>
      </c>
      <c r="T188" s="16">
        <f>L188*'الافتراضات'!$B$4</f>
        <v/>
      </c>
      <c r="U188" s="16">
        <f>(S188+T188)*'الافتراضات'!$B$5</f>
        <v/>
      </c>
      <c r="V188" s="16">
        <f>S188+T188+U188</f>
        <v/>
      </c>
      <c r="W188" s="16">
        <f>MAX(1,E188*P188)</f>
        <v/>
      </c>
      <c r="X188" s="16">
        <f>E188*'الافتراضات'!$B$7</f>
        <v/>
      </c>
      <c r="Y188" s="16">
        <f>E188*'الافتراضات'!$B$8</f>
        <v/>
      </c>
      <c r="Z188" s="16">
        <f>E188/(1+'الافتراضات'!$B$6)</f>
        <v/>
      </c>
      <c r="AA188" s="16">
        <f>Z188-V188-W188-Q188-X188-Y188</f>
        <v/>
      </c>
      <c r="AB188" s="17">
        <f>IF(Z188=0,0,AA188/Z188)</f>
        <v/>
      </c>
      <c r="AC188" s="17">
        <f>IF(V188=0,0,AA188/V188)</f>
        <v/>
      </c>
      <c r="AD188" s="18">
        <f>R188*V188</f>
        <v/>
      </c>
      <c r="AE188" s="16">
        <f>IF(AB188&gt;='الافتراضات'!$B$9,IF(O188="لا","ابدأ به","جيد – يحتاج شهادة"),IF(AB188&gt;='الافتراضات'!$B$10,"مقبول","ضعيف"))</f>
        <v/>
      </c>
      <c r="AF188" s="16">
        <f>IF((1-'الافتراضات'!$B$9)/(1+'الافتراضات'!$B$6)-P188-'الافتراضات'!$B$7-'الافتراضات'!$B$8&lt;=0,0,(V188+Q188)/((1-'الافتراضات'!$B$9)/(1+'الافتراضات'!$B$6)-P188-'الافتراضات'!$B$7-'الافتراضات'!$B$8))</f>
        <v/>
      </c>
    </row>
    <row r="189">
      <c r="A189" s="10" t="n">
        <v>188</v>
      </c>
      <c r="B189" s="11" t="inlineStr">
        <is>
          <t>إكسسوارات الجوال والإلكترونيات</t>
        </is>
      </c>
      <c r="C189" s="11" t="inlineStr">
        <is>
          <t>شاشة حماية خصوصية للابتوب</t>
        </is>
      </c>
      <c r="D189" s="11" t="inlineStr">
        <is>
          <t>laptop privacy screen filter</t>
        </is>
      </c>
      <c r="E189" s="12" t="n">
        <v>68</v>
      </c>
      <c r="F189" s="10" t="inlineStr">
        <is>
          <t>تقدير</t>
        </is>
      </c>
      <c r="G189" s="10" t="inlineStr">
        <is>
          <t>تقدير</t>
        </is>
      </c>
      <c r="H189" s="10" t="inlineStr">
        <is>
          <t>لم تُفحص</t>
        </is>
      </c>
      <c r="I189" s="10" t="inlineStr">
        <is>
          <t>لم يُفحص</t>
        </is>
      </c>
      <c r="J189" s="13" t="n">
        <v>6</v>
      </c>
      <c r="K189" s="11" t="inlineStr">
        <is>
          <t>تقدير</t>
        </is>
      </c>
      <c r="L189" s="14" t="n">
        <v>0.3</v>
      </c>
      <c r="M189" s="10" t="inlineStr">
        <is>
          <t>متوسط</t>
        </is>
      </c>
      <c r="N189" s="11" t="inlineStr">
        <is>
          <t>طوال السنة</t>
        </is>
      </c>
      <c r="O189" s="11" t="inlineStr">
        <is>
          <t>لا</t>
        </is>
      </c>
      <c r="P189" s="15" t="n">
        <v>0.15</v>
      </c>
      <c r="Q189" s="14" t="n">
        <v>9.5</v>
      </c>
      <c r="R189" s="14" t="n">
        <v>50</v>
      </c>
      <c r="S189" s="16">
        <f>J189*'الافتراضات'!$B$2*(1+'الافتراضات'!$B$3)</f>
        <v/>
      </c>
      <c r="T189" s="16">
        <f>L189*'الافتراضات'!$B$4</f>
        <v/>
      </c>
      <c r="U189" s="16">
        <f>(S189+T189)*'الافتراضات'!$B$5</f>
        <v/>
      </c>
      <c r="V189" s="16">
        <f>S189+T189+U189</f>
        <v/>
      </c>
      <c r="W189" s="16">
        <f>MAX(1,E189*P189)</f>
        <v/>
      </c>
      <c r="X189" s="16">
        <f>E189*'الافتراضات'!$B$7</f>
        <v/>
      </c>
      <c r="Y189" s="16">
        <f>E189*'الافتراضات'!$B$8</f>
        <v/>
      </c>
      <c r="Z189" s="16">
        <f>E189/(1+'الافتراضات'!$B$6)</f>
        <v/>
      </c>
      <c r="AA189" s="16">
        <f>Z189-V189-W189-Q189-X189-Y189</f>
        <v/>
      </c>
      <c r="AB189" s="17">
        <f>IF(Z189=0,0,AA189/Z189)</f>
        <v/>
      </c>
      <c r="AC189" s="17">
        <f>IF(V189=0,0,AA189/V189)</f>
        <v/>
      </c>
      <c r="AD189" s="18">
        <f>R189*V189</f>
        <v/>
      </c>
      <c r="AE189" s="16">
        <f>IF(AB189&gt;='الافتراضات'!$B$9,IF(O189="لا","ابدأ به","جيد – يحتاج شهادة"),IF(AB189&gt;='الافتراضات'!$B$10,"مقبول","ضعيف"))</f>
        <v/>
      </c>
      <c r="AF189" s="16">
        <f>IF((1-'الافتراضات'!$B$9)/(1+'الافتراضات'!$B$6)-P189-'الافتراضات'!$B$7-'الافتراضات'!$B$8&lt;=0,0,(V189+Q189)/((1-'الافتراضات'!$B$9)/(1+'الافتراضات'!$B$6)-P189-'الافتراضات'!$B$7-'الافتراضات'!$B$8))</f>
        <v/>
      </c>
    </row>
    <row r="190">
      <c r="A190" s="10" t="n">
        <v>189</v>
      </c>
      <c r="B190" s="11" t="inlineStr">
        <is>
          <t>الرياضة واللياقة</t>
        </is>
      </c>
      <c r="C190" s="11" t="inlineStr">
        <is>
          <t>جهاز مشي صغير قابل للطي</t>
        </is>
      </c>
      <c r="D190" s="11" t="inlineStr">
        <is>
          <t>foldable walking pad treadmill</t>
        </is>
      </c>
      <c r="E190" s="12" t="n">
        <v>1245</v>
      </c>
      <c r="F190" s="10" t="inlineStr">
        <is>
          <t>تقدير</t>
        </is>
      </c>
      <c r="G190" s="10" t="inlineStr">
        <is>
          <t>تقدير</t>
        </is>
      </c>
      <c r="H190" s="10" t="inlineStr">
        <is>
          <t>لم تُفحص</t>
        </is>
      </c>
      <c r="I190" s="10" t="inlineStr">
        <is>
          <t>لم يُفحص</t>
        </is>
      </c>
      <c r="J190" s="13" t="n">
        <v>110</v>
      </c>
      <c r="K190" s="11" t="inlineStr">
        <is>
          <t>تقدير</t>
        </is>
      </c>
      <c r="L190" s="14" t="n">
        <v>25</v>
      </c>
      <c r="M190" s="10" t="inlineStr">
        <is>
          <t>كبير</t>
        </is>
      </c>
      <c r="N190" s="11" t="inlineStr">
        <is>
          <t>طوال السنة</t>
        </is>
      </c>
      <c r="O190" s="11" t="inlineStr">
        <is>
          <t>SABER</t>
        </is>
      </c>
      <c r="P190" s="15" t="n">
        <v>0.13</v>
      </c>
      <c r="Q190" s="14" t="n">
        <v>38</v>
      </c>
      <c r="R190" s="14" t="n">
        <v>50</v>
      </c>
      <c r="S190" s="16">
        <f>J190*'الافتراضات'!$B$2*(1+'الافتراضات'!$B$3)</f>
        <v/>
      </c>
      <c r="T190" s="16">
        <f>L190*'الافتراضات'!$B$4</f>
        <v/>
      </c>
      <c r="U190" s="16">
        <f>(S190+T190)*'الافتراضات'!$B$5</f>
        <v/>
      </c>
      <c r="V190" s="16">
        <f>S190+T190+U190</f>
        <v/>
      </c>
      <c r="W190" s="16">
        <f>MAX(1,E190*P190)</f>
        <v/>
      </c>
      <c r="X190" s="16">
        <f>E190*'الافتراضات'!$B$7</f>
        <v/>
      </c>
      <c r="Y190" s="16">
        <f>E190*'الافتراضات'!$B$8</f>
        <v/>
      </c>
      <c r="Z190" s="16">
        <f>E190/(1+'الافتراضات'!$B$6)</f>
        <v/>
      </c>
      <c r="AA190" s="16">
        <f>Z190-V190-W190-Q190-X190-Y190</f>
        <v/>
      </c>
      <c r="AB190" s="17">
        <f>IF(Z190=0,0,AA190/Z190)</f>
        <v/>
      </c>
      <c r="AC190" s="17">
        <f>IF(V190=0,0,AA190/V190)</f>
        <v/>
      </c>
      <c r="AD190" s="18">
        <f>R190*V190</f>
        <v/>
      </c>
      <c r="AE190" s="16">
        <f>IF(AB190&gt;='الافتراضات'!$B$9,IF(O190="لا","ابدأ به","جيد – يحتاج شهادة"),IF(AB190&gt;='الافتراضات'!$B$10,"مقبول","ضعيف"))</f>
        <v/>
      </c>
      <c r="AF190" s="16">
        <f>IF((1-'الافتراضات'!$B$9)/(1+'الافتراضات'!$B$6)-P190-'الافتراضات'!$B$7-'الافتراضات'!$B$8&lt;=0,0,(V190+Q190)/((1-'الافتراضات'!$B$9)/(1+'الافتراضات'!$B$6)-P190-'الافتراضات'!$B$7-'الافتراضات'!$B$8))</f>
        <v/>
      </c>
    </row>
    <row r="191">
      <c r="A191" s="10" t="n">
        <v>190</v>
      </c>
      <c r="B191" s="11" t="inlineStr">
        <is>
          <t>التخييم والسفر</t>
        </is>
      </c>
      <c r="C191" s="11" t="inlineStr">
        <is>
          <t>نظارة سباحة</t>
        </is>
      </c>
      <c r="D191" s="11" t="inlineStr">
        <is>
          <t>swimming goggles</t>
        </is>
      </c>
      <c r="E191" s="12" t="n">
        <v>25</v>
      </c>
      <c r="F191" s="10" t="inlineStr">
        <is>
          <t>تقدير</t>
        </is>
      </c>
      <c r="G191" s="10" t="inlineStr">
        <is>
          <t>تقدير</t>
        </is>
      </c>
      <c r="H191" s="10" t="inlineStr">
        <is>
          <t>لم تُفحص</t>
        </is>
      </c>
      <c r="I191" s="10" t="inlineStr">
        <is>
          <t>لم يُفحص</t>
        </is>
      </c>
      <c r="J191" s="13" t="n">
        <v>1.4</v>
      </c>
      <c r="K191" s="11" t="inlineStr">
        <is>
          <t>تقدير</t>
        </is>
      </c>
      <c r="L191" s="14" t="n">
        <v>0.08</v>
      </c>
      <c r="M191" s="10" t="inlineStr">
        <is>
          <t>صغير</t>
        </is>
      </c>
      <c r="N191" s="11" t="inlineStr">
        <is>
          <t>الصيف</t>
        </is>
      </c>
      <c r="O191" s="11" t="inlineStr">
        <is>
          <t>لا</t>
        </is>
      </c>
      <c r="P191" s="15" t="n">
        <v>0.2</v>
      </c>
      <c r="Q191" s="14" t="n">
        <v>6</v>
      </c>
      <c r="R191" s="14" t="n">
        <v>50</v>
      </c>
      <c r="S191" s="16">
        <f>J191*'الافتراضات'!$B$2*(1+'الافتراضات'!$B$3)</f>
        <v/>
      </c>
      <c r="T191" s="16">
        <f>L191*'الافتراضات'!$B$4</f>
        <v/>
      </c>
      <c r="U191" s="16">
        <f>(S191+T191)*'الافتراضات'!$B$5</f>
        <v/>
      </c>
      <c r="V191" s="16">
        <f>S191+T191+U191</f>
        <v/>
      </c>
      <c r="W191" s="16">
        <f>MAX(1,E191*P191)</f>
        <v/>
      </c>
      <c r="X191" s="16">
        <f>E191*'الافتراضات'!$B$7</f>
        <v/>
      </c>
      <c r="Y191" s="16">
        <f>E191*'الافتراضات'!$B$8</f>
        <v/>
      </c>
      <c r="Z191" s="16">
        <f>E191/(1+'الافتراضات'!$B$6)</f>
        <v/>
      </c>
      <c r="AA191" s="16">
        <f>Z191-V191-W191-Q191-X191-Y191</f>
        <v/>
      </c>
      <c r="AB191" s="17">
        <f>IF(Z191=0,0,AA191/Z191)</f>
        <v/>
      </c>
      <c r="AC191" s="17">
        <f>IF(V191=0,0,AA191/V191)</f>
        <v/>
      </c>
      <c r="AD191" s="18">
        <f>R191*V191</f>
        <v/>
      </c>
      <c r="AE191" s="16">
        <f>IF(AB191&gt;='الافتراضات'!$B$9,IF(O191="لا","ابدأ به","جيد – يحتاج شهادة"),IF(AB191&gt;='الافتراضات'!$B$10,"مقبول","ضعيف"))</f>
        <v/>
      </c>
      <c r="AF191" s="16">
        <f>IF((1-'الافتراضات'!$B$9)/(1+'الافتراضات'!$B$6)-P191-'الافتراضات'!$B$7-'الافتراضات'!$B$8&lt;=0,0,(V191+Q191)/((1-'الافتراضات'!$B$9)/(1+'الافتراضات'!$B$6)-P191-'الافتراضات'!$B$7-'الافتراضات'!$B$8))</f>
        <v/>
      </c>
    </row>
    <row r="192">
      <c r="A192" s="10" t="n">
        <v>191</v>
      </c>
      <c r="B192" s="11" t="inlineStr">
        <is>
          <t>المكتب والدراسة</t>
        </is>
      </c>
      <c r="C192" s="11" t="inlineStr">
        <is>
          <t>لوح كتابة LCD للأطفال</t>
        </is>
      </c>
      <c r="D192" s="11" t="inlineStr">
        <is>
          <t>LCD writing tablet kids</t>
        </is>
      </c>
      <c r="E192" s="12" t="n">
        <v>25</v>
      </c>
      <c r="F192" s="10" t="inlineStr">
        <is>
          <t>تقدير</t>
        </is>
      </c>
      <c r="G192" s="10" t="inlineStr">
        <is>
          <t>تقدير</t>
        </is>
      </c>
      <c r="H192" s="10" t="inlineStr">
        <is>
          <t>لم تُفحص</t>
        </is>
      </c>
      <c r="I192" s="10" t="inlineStr">
        <is>
          <t>لم يُفحص</t>
        </is>
      </c>
      <c r="J192" s="13" t="n">
        <v>1.4</v>
      </c>
      <c r="K192" s="11" t="inlineStr">
        <is>
          <t>تقدير</t>
        </is>
      </c>
      <c r="L192" s="14" t="n">
        <v>0.2</v>
      </c>
      <c r="M192" s="10" t="inlineStr">
        <is>
          <t>صغير</t>
        </is>
      </c>
      <c r="N192" s="11" t="inlineStr">
        <is>
          <t>طوال السنة</t>
        </is>
      </c>
      <c r="O192" s="11" t="inlineStr">
        <is>
          <t>SABER + بطارية ليثيوم</t>
        </is>
      </c>
      <c r="P192" s="15" t="n">
        <v>0.12</v>
      </c>
      <c r="Q192" s="14" t="n">
        <v>7</v>
      </c>
      <c r="R192" s="14" t="n">
        <v>50</v>
      </c>
      <c r="S192" s="16">
        <f>J192*'الافتراضات'!$B$2*(1+'الافتراضات'!$B$3)</f>
        <v/>
      </c>
      <c r="T192" s="16">
        <f>L192*'الافتراضات'!$B$4</f>
        <v/>
      </c>
      <c r="U192" s="16">
        <f>(S192+T192)*'الافتراضات'!$B$5</f>
        <v/>
      </c>
      <c r="V192" s="16">
        <f>S192+T192+U192</f>
        <v/>
      </c>
      <c r="W192" s="16">
        <f>MAX(1,E192*P192)</f>
        <v/>
      </c>
      <c r="X192" s="16">
        <f>E192*'الافتراضات'!$B$7</f>
        <v/>
      </c>
      <c r="Y192" s="16">
        <f>E192*'الافتراضات'!$B$8</f>
        <v/>
      </c>
      <c r="Z192" s="16">
        <f>E192/(1+'الافتراضات'!$B$6)</f>
        <v/>
      </c>
      <c r="AA192" s="16">
        <f>Z192-V192-W192-Q192-X192-Y192</f>
        <v/>
      </c>
      <c r="AB192" s="17">
        <f>IF(Z192=0,0,AA192/Z192)</f>
        <v/>
      </c>
      <c r="AC192" s="17">
        <f>IF(V192=0,0,AA192/V192)</f>
        <v/>
      </c>
      <c r="AD192" s="18">
        <f>R192*V192</f>
        <v/>
      </c>
      <c r="AE192" s="16">
        <f>IF(AB192&gt;='الافتراضات'!$B$9,IF(O192="لا","ابدأ به","جيد – يحتاج شهادة"),IF(AB192&gt;='الافتراضات'!$B$10,"مقبول","ضعيف"))</f>
        <v/>
      </c>
      <c r="AF192" s="16">
        <f>IF((1-'الافتراضات'!$B$9)/(1+'الافتراضات'!$B$6)-P192-'الافتراضات'!$B$7-'الافتراضات'!$B$8&lt;=0,0,(V192+Q192)/((1-'الافتراضات'!$B$9)/(1+'الافتراضات'!$B$6)-P192-'الافتراضات'!$B$7-'الافتراضات'!$B$8))</f>
        <v/>
      </c>
    </row>
    <row r="193">
      <c r="A193" s="10" t="n">
        <v>192</v>
      </c>
      <c r="B193" s="11" t="inlineStr">
        <is>
          <t>المكتب والدراسة</t>
        </is>
      </c>
      <c r="C193" s="11" t="inlineStr">
        <is>
          <t>حقيبة أقلام كبيرة السعة</t>
        </is>
      </c>
      <c r="D193" s="11" t="inlineStr">
        <is>
          <t>large pencil case pouch</t>
        </is>
      </c>
      <c r="E193" s="12" t="n">
        <v>25</v>
      </c>
      <c r="F193" s="10" t="inlineStr">
        <is>
          <t>تقدير</t>
        </is>
      </c>
      <c r="G193" s="10" t="inlineStr">
        <is>
          <t>تقدير</t>
        </is>
      </c>
      <c r="H193" s="10" t="inlineStr">
        <is>
          <t>لم تُفحص</t>
        </is>
      </c>
      <c r="I193" s="10" t="inlineStr">
        <is>
          <t>لم يُفحص</t>
        </is>
      </c>
      <c r="J193" s="13" t="n">
        <v>1.4</v>
      </c>
      <c r="K193" s="11" t="inlineStr">
        <is>
          <t>تقدير</t>
        </is>
      </c>
      <c r="L193" s="14" t="n">
        <v>0.2</v>
      </c>
      <c r="M193" s="10" t="inlineStr">
        <is>
          <t>صغير</t>
        </is>
      </c>
      <c r="N193" s="11" t="inlineStr">
        <is>
          <t>العودة للمدارس</t>
        </is>
      </c>
      <c r="O193" s="11" t="inlineStr">
        <is>
          <t>لا</t>
        </is>
      </c>
      <c r="P193" s="15" t="n">
        <v>0.12</v>
      </c>
      <c r="Q193" s="14" t="n">
        <v>7</v>
      </c>
      <c r="R193" s="14" t="n">
        <v>50</v>
      </c>
      <c r="S193" s="16">
        <f>J193*'الافتراضات'!$B$2*(1+'الافتراضات'!$B$3)</f>
        <v/>
      </c>
      <c r="T193" s="16">
        <f>L193*'الافتراضات'!$B$4</f>
        <v/>
      </c>
      <c r="U193" s="16">
        <f>(S193+T193)*'الافتراضات'!$B$5</f>
        <v/>
      </c>
      <c r="V193" s="16">
        <f>S193+T193+U193</f>
        <v/>
      </c>
      <c r="W193" s="16">
        <f>MAX(1,E193*P193)</f>
        <v/>
      </c>
      <c r="X193" s="16">
        <f>E193*'الافتراضات'!$B$7</f>
        <v/>
      </c>
      <c r="Y193" s="16">
        <f>E193*'الافتراضات'!$B$8</f>
        <v/>
      </c>
      <c r="Z193" s="16">
        <f>E193/(1+'الافتراضات'!$B$6)</f>
        <v/>
      </c>
      <c r="AA193" s="16">
        <f>Z193-V193-W193-Q193-X193-Y193</f>
        <v/>
      </c>
      <c r="AB193" s="17">
        <f>IF(Z193=0,0,AA193/Z193)</f>
        <v/>
      </c>
      <c r="AC193" s="17">
        <f>IF(V193=0,0,AA193/V193)</f>
        <v/>
      </c>
      <c r="AD193" s="18">
        <f>R193*V193</f>
        <v/>
      </c>
      <c r="AE193" s="16">
        <f>IF(AB193&gt;='الافتراضات'!$B$9,IF(O193="لا","ابدأ به","جيد – يحتاج شهادة"),IF(AB193&gt;='الافتراضات'!$B$10,"مقبول","ضعيف"))</f>
        <v/>
      </c>
      <c r="AF193" s="16">
        <f>IF((1-'الافتراضات'!$B$9)/(1+'الافتراضات'!$B$6)-P193-'الافتراضات'!$B$7-'الافتراضات'!$B$8&lt;=0,0,(V193+Q193)/((1-'الافتراضات'!$B$9)/(1+'الافتراضات'!$B$6)-P193-'الافتراضات'!$B$7-'الافتراضات'!$B$8))</f>
        <v/>
      </c>
    </row>
    <row r="194">
      <c r="A194" s="10" t="n">
        <v>193</v>
      </c>
      <c r="B194" s="11" t="inlineStr">
        <is>
          <t>المنزل والمطبخ</t>
        </is>
      </c>
      <c r="C194" s="11" t="inlineStr">
        <is>
          <t>ماكينة صنع قهوة مضغوطة صغيرة</t>
        </is>
      </c>
      <c r="D194" s="11" t="inlineStr">
        <is>
          <t>portable espresso machine</t>
        </is>
      </c>
      <c r="E194" s="12" t="n">
        <v>102</v>
      </c>
      <c r="F194" s="10" t="inlineStr">
        <is>
          <t>تقدير</t>
        </is>
      </c>
      <c r="G194" s="10" t="inlineStr">
        <is>
          <t>تقدير</t>
        </is>
      </c>
      <c r="H194" s="10" t="inlineStr">
        <is>
          <t>لم تُفحص</t>
        </is>
      </c>
      <c r="I194" s="10" t="inlineStr">
        <is>
          <t>لم يُفحص</t>
        </is>
      </c>
      <c r="J194" s="13" t="n">
        <v>9</v>
      </c>
      <c r="K194" s="11" t="inlineStr">
        <is>
          <t>تقدير</t>
        </is>
      </c>
      <c r="L194" s="14" t="n">
        <v>1</v>
      </c>
      <c r="M194" s="10" t="inlineStr">
        <is>
          <t>متوسط</t>
        </is>
      </c>
      <c r="N194" s="11" t="inlineStr">
        <is>
          <t>طوال السنة</t>
        </is>
      </c>
      <c r="O194" s="11" t="inlineStr">
        <is>
          <t>SABER + بطارية ليثيوم</t>
        </is>
      </c>
      <c r="P194" s="15" t="n">
        <v>0.15</v>
      </c>
      <c r="Q194" s="14" t="n">
        <v>10</v>
      </c>
      <c r="R194" s="14" t="n">
        <v>50</v>
      </c>
      <c r="S194" s="16">
        <f>J194*'الافتراضات'!$B$2*(1+'الافتراضات'!$B$3)</f>
        <v/>
      </c>
      <c r="T194" s="16">
        <f>L194*'الافتراضات'!$B$4</f>
        <v/>
      </c>
      <c r="U194" s="16">
        <f>(S194+T194)*'الافتراضات'!$B$5</f>
        <v/>
      </c>
      <c r="V194" s="16">
        <f>S194+T194+U194</f>
        <v/>
      </c>
      <c r="W194" s="16">
        <f>MAX(1,E194*P194)</f>
        <v/>
      </c>
      <c r="X194" s="16">
        <f>E194*'الافتراضات'!$B$7</f>
        <v/>
      </c>
      <c r="Y194" s="16">
        <f>E194*'الافتراضات'!$B$8</f>
        <v/>
      </c>
      <c r="Z194" s="16">
        <f>E194/(1+'الافتراضات'!$B$6)</f>
        <v/>
      </c>
      <c r="AA194" s="16">
        <f>Z194-V194-W194-Q194-X194-Y194</f>
        <v/>
      </c>
      <c r="AB194" s="17">
        <f>IF(Z194=0,0,AA194/Z194)</f>
        <v/>
      </c>
      <c r="AC194" s="17">
        <f>IF(V194=0,0,AA194/V194)</f>
        <v/>
      </c>
      <c r="AD194" s="18">
        <f>R194*V194</f>
        <v/>
      </c>
      <c r="AE194" s="16">
        <f>IF(AB194&gt;='الافتراضات'!$B$9,IF(O194="لا","ابدأ به","جيد – يحتاج شهادة"),IF(AB194&gt;='الافتراضات'!$B$10,"مقبول","ضعيف"))</f>
        <v/>
      </c>
      <c r="AF194" s="16">
        <f>IF((1-'الافتراضات'!$B$9)/(1+'الافتراضات'!$B$6)-P194-'الافتراضات'!$B$7-'الافتراضات'!$B$8&lt;=0,0,(V194+Q194)/((1-'الافتراضات'!$B$9)/(1+'الافتراضات'!$B$6)-P194-'الافتراضات'!$B$7-'الافتراضات'!$B$8))</f>
        <v/>
      </c>
    </row>
    <row r="195">
      <c r="A195" s="10" t="n">
        <v>194</v>
      </c>
      <c r="B195" s="11" t="inlineStr">
        <is>
          <t>الأطفال والألعاب</t>
        </is>
      </c>
      <c r="C195" s="11" t="inlineStr">
        <is>
          <t>حقيبة حفاضات</t>
        </is>
      </c>
      <c r="D195" s="11" t="inlineStr">
        <is>
          <t>baby diaper bag</t>
        </is>
      </c>
      <c r="E195" s="12" t="n">
        <v>91</v>
      </c>
      <c r="F195" s="10" t="inlineStr">
        <is>
          <t>تقدير</t>
        </is>
      </c>
      <c r="G195" s="10" t="inlineStr">
        <is>
          <t>تقدير</t>
        </is>
      </c>
      <c r="H195" s="10" t="inlineStr">
        <is>
          <t>لم تُفحص</t>
        </is>
      </c>
      <c r="I195" s="10" t="inlineStr">
        <is>
          <t>لم يُفحص</t>
        </is>
      </c>
      <c r="J195" s="13" t="n">
        <v>8</v>
      </c>
      <c r="K195" s="11" t="inlineStr">
        <is>
          <t>تقدير</t>
        </is>
      </c>
      <c r="L195" s="14" t="n">
        <v>0.8</v>
      </c>
      <c r="M195" s="10" t="inlineStr">
        <is>
          <t>متوسط</t>
        </is>
      </c>
      <c r="N195" s="11" t="inlineStr">
        <is>
          <t>طوال السنة</t>
        </is>
      </c>
      <c r="O195" s="11" t="inlineStr">
        <is>
          <t>لا</t>
        </is>
      </c>
      <c r="P195" s="15" t="n">
        <v>0.15</v>
      </c>
      <c r="Q195" s="14" t="n">
        <v>10</v>
      </c>
      <c r="R195" s="14" t="n">
        <v>50</v>
      </c>
      <c r="S195" s="16">
        <f>J195*'الافتراضات'!$B$2*(1+'الافتراضات'!$B$3)</f>
        <v/>
      </c>
      <c r="T195" s="16">
        <f>L195*'الافتراضات'!$B$4</f>
        <v/>
      </c>
      <c r="U195" s="16">
        <f>(S195+T195)*'الافتراضات'!$B$5</f>
        <v/>
      </c>
      <c r="V195" s="16">
        <f>S195+T195+U195</f>
        <v/>
      </c>
      <c r="W195" s="16">
        <f>MAX(1,E195*P195)</f>
        <v/>
      </c>
      <c r="X195" s="16">
        <f>E195*'الافتراضات'!$B$7</f>
        <v/>
      </c>
      <c r="Y195" s="16">
        <f>E195*'الافتراضات'!$B$8</f>
        <v/>
      </c>
      <c r="Z195" s="16">
        <f>E195/(1+'الافتراضات'!$B$6)</f>
        <v/>
      </c>
      <c r="AA195" s="16">
        <f>Z195-V195-W195-Q195-X195-Y195</f>
        <v/>
      </c>
      <c r="AB195" s="17">
        <f>IF(Z195=0,0,AA195/Z195)</f>
        <v/>
      </c>
      <c r="AC195" s="17">
        <f>IF(V195=0,0,AA195/V195)</f>
        <v/>
      </c>
      <c r="AD195" s="18">
        <f>R195*V195</f>
        <v/>
      </c>
      <c r="AE195" s="16">
        <f>IF(AB195&gt;='الافتراضات'!$B$9,IF(O195="لا","ابدأ به","جيد – يحتاج شهادة"),IF(AB195&gt;='الافتراضات'!$B$10,"مقبول","ضعيف"))</f>
        <v/>
      </c>
      <c r="AF195" s="16">
        <f>IF((1-'الافتراضات'!$B$9)/(1+'الافتراضات'!$B$6)-P195-'الافتراضات'!$B$7-'الافتراضات'!$B$8&lt;=0,0,(V195+Q195)/((1-'الافتراضات'!$B$9)/(1+'الافتراضات'!$B$6)-P195-'الافتراضات'!$B$7-'الافتراضات'!$B$8))</f>
        <v/>
      </c>
    </row>
    <row r="196">
      <c r="A196" s="10" t="n">
        <v>195</v>
      </c>
      <c r="B196" s="11" t="inlineStr">
        <is>
          <t>إكسسوارات الجوال والإلكترونيات</t>
        </is>
      </c>
      <c r="C196" s="11" t="inlineStr">
        <is>
          <t>كيبورد وماوس لاسلكي كومبو</t>
        </is>
      </c>
      <c r="D196" s="11" t="inlineStr">
        <is>
          <t>wireless keyboard mouse combo</t>
        </is>
      </c>
      <c r="E196" s="12" t="n">
        <v>79</v>
      </c>
      <c r="F196" s="10" t="inlineStr">
        <is>
          <t>تقدير</t>
        </is>
      </c>
      <c r="G196" s="10" t="inlineStr">
        <is>
          <t>تقدير</t>
        </is>
      </c>
      <c r="H196" s="10" t="inlineStr">
        <is>
          <t>لم تُفحص</t>
        </is>
      </c>
      <c r="I196" s="10" t="inlineStr">
        <is>
          <t>لم يُفحص</t>
        </is>
      </c>
      <c r="J196" s="13" t="n">
        <v>7</v>
      </c>
      <c r="K196" s="11" t="inlineStr">
        <is>
          <t>تقدير</t>
        </is>
      </c>
      <c r="L196" s="14" t="n">
        <v>0.7</v>
      </c>
      <c r="M196" s="10" t="inlineStr">
        <is>
          <t>متوسط</t>
        </is>
      </c>
      <c r="N196" s="11" t="inlineStr">
        <is>
          <t>طوال السنة</t>
        </is>
      </c>
      <c r="O196" s="11" t="inlineStr">
        <is>
          <t>SABER</t>
        </is>
      </c>
      <c r="P196" s="15" t="n">
        <v>0.13</v>
      </c>
      <c r="Q196" s="14" t="n">
        <v>10</v>
      </c>
      <c r="R196" s="14" t="n">
        <v>50</v>
      </c>
      <c r="S196" s="16">
        <f>J196*'الافتراضات'!$B$2*(1+'الافتراضات'!$B$3)</f>
        <v/>
      </c>
      <c r="T196" s="16">
        <f>L196*'الافتراضات'!$B$4</f>
        <v/>
      </c>
      <c r="U196" s="16">
        <f>(S196+T196)*'الافتراضات'!$B$5</f>
        <v/>
      </c>
      <c r="V196" s="16">
        <f>S196+T196+U196</f>
        <v/>
      </c>
      <c r="W196" s="16">
        <f>MAX(1,E196*P196)</f>
        <v/>
      </c>
      <c r="X196" s="16">
        <f>E196*'الافتراضات'!$B$7</f>
        <v/>
      </c>
      <c r="Y196" s="16">
        <f>E196*'الافتراضات'!$B$8</f>
        <v/>
      </c>
      <c r="Z196" s="16">
        <f>E196/(1+'الافتراضات'!$B$6)</f>
        <v/>
      </c>
      <c r="AA196" s="16">
        <f>Z196-V196-W196-Q196-X196-Y196</f>
        <v/>
      </c>
      <c r="AB196" s="17">
        <f>IF(Z196=0,0,AA196/Z196)</f>
        <v/>
      </c>
      <c r="AC196" s="17">
        <f>IF(V196=0,0,AA196/V196)</f>
        <v/>
      </c>
      <c r="AD196" s="18">
        <f>R196*V196</f>
        <v/>
      </c>
      <c r="AE196" s="16">
        <f>IF(AB196&gt;='الافتراضات'!$B$9,IF(O196="لا","ابدأ به","جيد – يحتاج شهادة"),IF(AB196&gt;='الافتراضات'!$B$10,"مقبول","ضعيف"))</f>
        <v/>
      </c>
      <c r="AF196" s="16">
        <f>IF((1-'الافتراضات'!$B$9)/(1+'الافتراضات'!$B$6)-P196-'الافتراضات'!$B$7-'الافتراضات'!$B$8&lt;=0,0,(V196+Q196)/((1-'الافتراضات'!$B$9)/(1+'الافتراضات'!$B$6)-P196-'الافتراضات'!$B$7-'الافتراضات'!$B$8))</f>
        <v/>
      </c>
    </row>
    <row r="197">
      <c r="A197" s="10" t="n">
        <v>196</v>
      </c>
      <c r="B197" s="11" t="inlineStr">
        <is>
          <t>الأدوات والصيانة</t>
        </is>
      </c>
      <c r="C197" s="11" t="inlineStr">
        <is>
          <t>قفل أبواب أمان للأطفال</t>
        </is>
      </c>
      <c r="D197" s="11" t="inlineStr">
        <is>
          <t>child safety lock cabinets</t>
        </is>
      </c>
      <c r="E197" s="12" t="n">
        <v>25</v>
      </c>
      <c r="F197" s="10" t="inlineStr">
        <is>
          <t>تقدير</t>
        </is>
      </c>
      <c r="G197" s="10" t="inlineStr">
        <is>
          <t>تقدير</t>
        </is>
      </c>
      <c r="H197" s="10" t="inlineStr">
        <is>
          <t>لم تُفحص</t>
        </is>
      </c>
      <c r="I197" s="10" t="inlineStr">
        <is>
          <t>لم يُفحص</t>
        </is>
      </c>
      <c r="J197" s="13" t="n">
        <v>1.4</v>
      </c>
      <c r="K197" s="11" t="inlineStr">
        <is>
          <t>تقدير</t>
        </is>
      </c>
      <c r="L197" s="14" t="n">
        <v>0.15</v>
      </c>
      <c r="M197" s="10" t="inlineStr">
        <is>
          <t>صغير</t>
        </is>
      </c>
      <c r="N197" s="11" t="inlineStr">
        <is>
          <t>طوال السنة</t>
        </is>
      </c>
      <c r="O197" s="11" t="inlineStr">
        <is>
          <t>لا</t>
        </is>
      </c>
      <c r="P197" s="15" t="n">
        <v>0.14</v>
      </c>
      <c r="Q197" s="14" t="n">
        <v>7</v>
      </c>
      <c r="R197" s="14" t="n">
        <v>50</v>
      </c>
      <c r="S197" s="16">
        <f>J197*'الافتراضات'!$B$2*(1+'الافتراضات'!$B$3)</f>
        <v/>
      </c>
      <c r="T197" s="16">
        <f>L197*'الافتراضات'!$B$4</f>
        <v/>
      </c>
      <c r="U197" s="16">
        <f>(S197+T197)*'الافتراضات'!$B$5</f>
        <v/>
      </c>
      <c r="V197" s="16">
        <f>S197+T197+U197</f>
        <v/>
      </c>
      <c r="W197" s="16">
        <f>MAX(1,E197*P197)</f>
        <v/>
      </c>
      <c r="X197" s="16">
        <f>E197*'الافتراضات'!$B$7</f>
        <v/>
      </c>
      <c r="Y197" s="16">
        <f>E197*'الافتراضات'!$B$8</f>
        <v/>
      </c>
      <c r="Z197" s="16">
        <f>E197/(1+'الافتراضات'!$B$6)</f>
        <v/>
      </c>
      <c r="AA197" s="16">
        <f>Z197-V197-W197-Q197-X197-Y197</f>
        <v/>
      </c>
      <c r="AB197" s="17">
        <f>IF(Z197=0,0,AA197/Z197)</f>
        <v/>
      </c>
      <c r="AC197" s="17">
        <f>IF(V197=0,0,AA197/V197)</f>
        <v/>
      </c>
      <c r="AD197" s="18">
        <f>R197*V197</f>
        <v/>
      </c>
      <c r="AE197" s="16">
        <f>IF(AB197&gt;='الافتراضات'!$B$9,IF(O197="لا","ابدأ به","جيد – يحتاج شهادة"),IF(AB197&gt;='الافتراضات'!$B$10,"مقبول","ضعيف"))</f>
        <v/>
      </c>
      <c r="AF197" s="16">
        <f>IF((1-'الافتراضات'!$B$9)/(1+'الافتراضات'!$B$6)-P197-'الافتراضات'!$B$7-'الافتراضات'!$B$8&lt;=0,0,(V197+Q197)/((1-'الافتراضات'!$B$9)/(1+'الافتراضات'!$B$6)-P197-'الافتراضات'!$B$7-'الافتراضات'!$B$8))</f>
        <v/>
      </c>
    </row>
    <row r="198">
      <c r="A198" s="10" t="n">
        <v>197</v>
      </c>
      <c r="B198" s="11" t="inlineStr">
        <is>
          <t>المنزل والمطبخ</t>
        </is>
      </c>
      <c r="C198" s="11" t="inlineStr">
        <is>
          <t>مجفف ملابس صغير</t>
        </is>
      </c>
      <c r="D198" s="11" t="inlineStr">
        <is>
          <t>portable clothes dryer</t>
        </is>
      </c>
      <c r="E198" s="12" t="n">
        <v>226</v>
      </c>
      <c r="F198" s="10" t="inlineStr">
        <is>
          <t>تقدير</t>
        </is>
      </c>
      <c r="G198" s="10" t="inlineStr">
        <is>
          <t>تقدير</t>
        </is>
      </c>
      <c r="H198" s="10" t="inlineStr">
        <is>
          <t>لم تُفحص</t>
        </is>
      </c>
      <c r="I198" s="10" t="inlineStr">
        <is>
          <t>لم يُفحص</t>
        </is>
      </c>
      <c r="J198" s="13" t="n">
        <v>20</v>
      </c>
      <c r="K198" s="11" t="inlineStr">
        <is>
          <t>تقدير</t>
        </is>
      </c>
      <c r="L198" s="14" t="n">
        <v>3</v>
      </c>
      <c r="M198" s="10" t="inlineStr">
        <is>
          <t>كبير</t>
        </is>
      </c>
      <c r="N198" s="11" t="inlineStr">
        <is>
          <t>طوال السنة</t>
        </is>
      </c>
      <c r="O198" s="11" t="inlineStr">
        <is>
          <t>SABER</t>
        </is>
      </c>
      <c r="P198" s="15" t="n">
        <v>0.15</v>
      </c>
      <c r="Q198" s="14" t="n">
        <v>16</v>
      </c>
      <c r="R198" s="14" t="n">
        <v>50</v>
      </c>
      <c r="S198" s="16">
        <f>J198*'الافتراضات'!$B$2*(1+'الافتراضات'!$B$3)</f>
        <v/>
      </c>
      <c r="T198" s="16">
        <f>L198*'الافتراضات'!$B$4</f>
        <v/>
      </c>
      <c r="U198" s="16">
        <f>(S198+T198)*'الافتراضات'!$B$5</f>
        <v/>
      </c>
      <c r="V198" s="16">
        <f>S198+T198+U198</f>
        <v/>
      </c>
      <c r="W198" s="16">
        <f>MAX(1,E198*P198)</f>
        <v/>
      </c>
      <c r="X198" s="16">
        <f>E198*'الافتراضات'!$B$7</f>
        <v/>
      </c>
      <c r="Y198" s="16">
        <f>E198*'الافتراضات'!$B$8</f>
        <v/>
      </c>
      <c r="Z198" s="16">
        <f>E198/(1+'الافتراضات'!$B$6)</f>
        <v/>
      </c>
      <c r="AA198" s="16">
        <f>Z198-V198-W198-Q198-X198-Y198</f>
        <v/>
      </c>
      <c r="AB198" s="17">
        <f>IF(Z198=0,0,AA198/Z198)</f>
        <v/>
      </c>
      <c r="AC198" s="17">
        <f>IF(V198=0,0,AA198/V198)</f>
        <v/>
      </c>
      <c r="AD198" s="18">
        <f>R198*V198</f>
        <v/>
      </c>
      <c r="AE198" s="16">
        <f>IF(AB198&gt;='الافتراضات'!$B$9,IF(O198="لا","ابدأ به","جيد – يحتاج شهادة"),IF(AB198&gt;='الافتراضات'!$B$10,"مقبول","ضعيف"))</f>
        <v/>
      </c>
      <c r="AF198" s="16">
        <f>IF((1-'الافتراضات'!$B$9)/(1+'الافتراضات'!$B$6)-P198-'الافتراضات'!$B$7-'الافتراضات'!$B$8&lt;=0,0,(V198+Q198)/((1-'الافتراضات'!$B$9)/(1+'الافتراضات'!$B$6)-P198-'الافتراضات'!$B$7-'الافتراضات'!$B$8))</f>
        <v/>
      </c>
    </row>
    <row r="199">
      <c r="A199" s="10" t="n">
        <v>198</v>
      </c>
      <c r="B199" s="11" t="inlineStr">
        <is>
          <t>السيارات والدراجات</t>
        </is>
      </c>
      <c r="C199" s="11" t="inlineStr">
        <is>
          <t>مكنسة سيارة سلكية</t>
        </is>
      </c>
      <c r="D199" s="11" t="inlineStr">
        <is>
          <t>corded car vacuum</t>
        </is>
      </c>
      <c r="E199" s="12" t="n">
        <v>79</v>
      </c>
      <c r="F199" s="10" t="inlineStr">
        <is>
          <t>تقدير</t>
        </is>
      </c>
      <c r="G199" s="10" t="inlineStr">
        <is>
          <t>تقدير</t>
        </is>
      </c>
      <c r="H199" s="10" t="inlineStr">
        <is>
          <t>لم تُفحص</t>
        </is>
      </c>
      <c r="I199" s="10" t="inlineStr">
        <is>
          <t>لم يُفحص</t>
        </is>
      </c>
      <c r="J199" s="13" t="n">
        <v>7</v>
      </c>
      <c r="K199" s="11" t="inlineStr">
        <is>
          <t>تقدير</t>
        </is>
      </c>
      <c r="L199" s="14" t="n">
        <v>1</v>
      </c>
      <c r="M199" s="10" t="inlineStr">
        <is>
          <t>متوسط</t>
        </is>
      </c>
      <c r="N199" s="11" t="inlineStr">
        <is>
          <t>طوال السنة</t>
        </is>
      </c>
      <c r="O199" s="11" t="inlineStr">
        <is>
          <t>SABER</t>
        </is>
      </c>
      <c r="P199" s="15" t="n">
        <v>0.1</v>
      </c>
      <c r="Q199" s="14" t="n">
        <v>10</v>
      </c>
      <c r="R199" s="14" t="n">
        <v>50</v>
      </c>
      <c r="S199" s="16">
        <f>J199*'الافتراضات'!$B$2*(1+'الافتراضات'!$B$3)</f>
        <v/>
      </c>
      <c r="T199" s="16">
        <f>L199*'الافتراضات'!$B$4</f>
        <v/>
      </c>
      <c r="U199" s="16">
        <f>(S199+T199)*'الافتراضات'!$B$5</f>
        <v/>
      </c>
      <c r="V199" s="16">
        <f>S199+T199+U199</f>
        <v/>
      </c>
      <c r="W199" s="16">
        <f>MAX(1,E199*P199)</f>
        <v/>
      </c>
      <c r="X199" s="16">
        <f>E199*'الافتراضات'!$B$7</f>
        <v/>
      </c>
      <c r="Y199" s="16">
        <f>E199*'الافتراضات'!$B$8</f>
        <v/>
      </c>
      <c r="Z199" s="16">
        <f>E199/(1+'الافتراضات'!$B$6)</f>
        <v/>
      </c>
      <c r="AA199" s="16">
        <f>Z199-V199-W199-Q199-X199-Y199</f>
        <v/>
      </c>
      <c r="AB199" s="17">
        <f>IF(Z199=0,0,AA199/Z199)</f>
        <v/>
      </c>
      <c r="AC199" s="17">
        <f>IF(V199=0,0,AA199/V199)</f>
        <v/>
      </c>
      <c r="AD199" s="18">
        <f>R199*V199</f>
        <v/>
      </c>
      <c r="AE199" s="16">
        <f>IF(AB199&gt;='الافتراضات'!$B$9,IF(O199="لا","ابدأ به","جيد – يحتاج شهادة"),IF(AB199&gt;='الافتراضات'!$B$10,"مقبول","ضعيف"))</f>
        <v/>
      </c>
      <c r="AF199" s="16">
        <f>IF((1-'الافتراضات'!$B$9)/(1+'الافتراضات'!$B$6)-P199-'الافتراضات'!$B$7-'الافتراضات'!$B$8&lt;=0,0,(V199+Q199)/((1-'الافتراضات'!$B$9)/(1+'الافتراضات'!$B$6)-P199-'الافتراضات'!$B$7-'الافتراضات'!$B$8))</f>
        <v/>
      </c>
    </row>
    <row r="200">
      <c r="A200" s="10" t="n">
        <v>199</v>
      </c>
      <c r="B200" s="11" t="inlineStr">
        <is>
          <t>رمضان والمناسبات</t>
        </is>
      </c>
      <c r="C200" s="11" t="inlineStr">
        <is>
          <t>ستيكرات وزينة جدارية لرمضان</t>
        </is>
      </c>
      <c r="D200" s="11" t="inlineStr">
        <is>
          <t>ramadan wall sticker decoration set</t>
        </is>
      </c>
      <c r="E200" s="12" t="n">
        <v>25</v>
      </c>
      <c r="F200" s="10" t="inlineStr">
        <is>
          <t>تقدير</t>
        </is>
      </c>
      <c r="G200" s="10" t="inlineStr">
        <is>
          <t>تقدير</t>
        </is>
      </c>
      <c r="H200" s="10" t="inlineStr">
        <is>
          <t>لم تُفحص</t>
        </is>
      </c>
      <c r="I200" s="10" t="inlineStr">
        <is>
          <t>لم يُفحص</t>
        </is>
      </c>
      <c r="J200" s="13" t="n">
        <v>1</v>
      </c>
      <c r="K200" s="11" t="inlineStr">
        <is>
          <t>تقدير</t>
        </is>
      </c>
      <c r="L200" s="14" t="n">
        <v>0.3</v>
      </c>
      <c r="M200" s="10" t="inlineStr">
        <is>
          <t>صغير</t>
        </is>
      </c>
      <c r="N200" s="11" t="inlineStr">
        <is>
          <t>رمضان والمناسبات</t>
        </is>
      </c>
      <c r="O200" s="11" t="inlineStr">
        <is>
          <t>لا</t>
        </is>
      </c>
      <c r="P200" s="15" t="n">
        <v>0.14</v>
      </c>
      <c r="Q200" s="14" t="n">
        <v>7.5</v>
      </c>
      <c r="R200" s="14" t="n">
        <v>50</v>
      </c>
      <c r="S200" s="16">
        <f>J200*'الافتراضات'!$B$2*(1+'الافتراضات'!$B$3)</f>
        <v/>
      </c>
      <c r="T200" s="16">
        <f>L200*'الافتراضات'!$B$4</f>
        <v/>
      </c>
      <c r="U200" s="16">
        <f>(S200+T200)*'الافتراضات'!$B$5</f>
        <v/>
      </c>
      <c r="V200" s="16">
        <f>S200+T200+U200</f>
        <v/>
      </c>
      <c r="W200" s="16">
        <f>MAX(1,E200*P200)</f>
        <v/>
      </c>
      <c r="X200" s="16">
        <f>E200*'الافتراضات'!$B$7</f>
        <v/>
      </c>
      <c r="Y200" s="16">
        <f>E200*'الافتراضات'!$B$8</f>
        <v/>
      </c>
      <c r="Z200" s="16">
        <f>E200/(1+'الافتراضات'!$B$6)</f>
        <v/>
      </c>
      <c r="AA200" s="16">
        <f>Z200-V200-W200-Q200-X200-Y200</f>
        <v/>
      </c>
      <c r="AB200" s="17">
        <f>IF(Z200=0,0,AA200/Z200)</f>
        <v/>
      </c>
      <c r="AC200" s="17">
        <f>IF(V200=0,0,AA200/V200)</f>
        <v/>
      </c>
      <c r="AD200" s="18">
        <f>R200*V200</f>
        <v/>
      </c>
      <c r="AE200" s="16">
        <f>IF(AB200&gt;='الافتراضات'!$B$9,IF(O200="لا","ابدأ به","جيد – يحتاج شهادة"),IF(AB200&gt;='الافتراضات'!$B$10,"مقبول","ضعيف"))</f>
        <v/>
      </c>
      <c r="AF200" s="16">
        <f>IF((1-'الافتراضات'!$B$9)/(1+'الافتراضات'!$B$6)-P200-'الافتراضات'!$B$7-'الافتراضات'!$B$8&lt;=0,0,(V200+Q200)/((1-'الافتراضات'!$B$9)/(1+'الافتراضات'!$B$6)-P200-'الافتراضات'!$B$7-'الافتراضات'!$B$8))</f>
        <v/>
      </c>
    </row>
    <row r="201">
      <c r="A201" s="10" t="n">
        <v>200</v>
      </c>
      <c r="B201" s="11" t="inlineStr">
        <is>
          <t>السيارات والدراجات</t>
        </is>
      </c>
      <c r="C201" s="11" t="inlineStr">
        <is>
          <t>أضواء LED للأبواب</t>
        </is>
      </c>
      <c r="D201" s="11" t="inlineStr">
        <is>
          <t>car door logo projector light</t>
        </is>
      </c>
      <c r="E201" s="12" t="n">
        <v>25</v>
      </c>
      <c r="F201" s="10" t="inlineStr">
        <is>
          <t>تقدير</t>
        </is>
      </c>
      <c r="G201" s="10" t="inlineStr">
        <is>
          <t>تقدير</t>
        </is>
      </c>
      <c r="H201" s="10" t="inlineStr">
        <is>
          <t>لم تُفحص</t>
        </is>
      </c>
      <c r="I201" s="10" t="inlineStr">
        <is>
          <t>لم يُفحص</t>
        </is>
      </c>
      <c r="J201" s="13" t="n">
        <v>2</v>
      </c>
      <c r="K201" s="11" t="inlineStr">
        <is>
          <t>تقدير</t>
        </is>
      </c>
      <c r="L201" s="14" t="n">
        <v>0.1</v>
      </c>
      <c r="M201" s="10" t="inlineStr">
        <is>
          <t>صغير</t>
        </is>
      </c>
      <c r="N201" s="11" t="inlineStr">
        <is>
          <t>طوال السنة</t>
        </is>
      </c>
      <c r="O201" s="11" t="inlineStr">
        <is>
          <t>SABER</t>
        </is>
      </c>
      <c r="P201" s="15" t="n">
        <v>0.1</v>
      </c>
      <c r="Q201" s="14" t="n">
        <v>6</v>
      </c>
      <c r="R201" s="14" t="n">
        <v>50</v>
      </c>
      <c r="S201" s="16">
        <f>J201*'الافتراضات'!$B$2*(1+'الافتراضات'!$B$3)</f>
        <v/>
      </c>
      <c r="T201" s="16">
        <f>L201*'الافتراضات'!$B$4</f>
        <v/>
      </c>
      <c r="U201" s="16">
        <f>(S201+T201)*'الافتراضات'!$B$5</f>
        <v/>
      </c>
      <c r="V201" s="16">
        <f>S201+T201+U201</f>
        <v/>
      </c>
      <c r="W201" s="16">
        <f>MAX(1,E201*P201)</f>
        <v/>
      </c>
      <c r="X201" s="16">
        <f>E201*'الافتراضات'!$B$7</f>
        <v/>
      </c>
      <c r="Y201" s="16">
        <f>E201*'الافتراضات'!$B$8</f>
        <v/>
      </c>
      <c r="Z201" s="16">
        <f>E201/(1+'الافتراضات'!$B$6)</f>
        <v/>
      </c>
      <c r="AA201" s="16">
        <f>Z201-V201-W201-Q201-X201-Y201</f>
        <v/>
      </c>
      <c r="AB201" s="17">
        <f>IF(Z201=0,0,AA201/Z201)</f>
        <v/>
      </c>
      <c r="AC201" s="17">
        <f>IF(V201=0,0,AA201/V201)</f>
        <v/>
      </c>
      <c r="AD201" s="18">
        <f>R201*V201</f>
        <v/>
      </c>
      <c r="AE201" s="16">
        <f>IF(AB201&gt;='الافتراضات'!$B$9,IF(O201="لا","ابدأ به","جيد – يحتاج شهادة"),IF(AB201&gt;='الافتراضات'!$B$10,"مقبول","ضعيف"))</f>
        <v/>
      </c>
      <c r="AF201" s="16">
        <f>IF((1-'الافتراضات'!$B$9)/(1+'الافتراضات'!$B$6)-P201-'الافتراضات'!$B$7-'الافتراضات'!$B$8&lt;=0,0,(V201+Q201)/((1-'الافتراضات'!$B$9)/(1+'الافتراضات'!$B$6)-P201-'الافتراضات'!$B$7-'الافتراضات'!$B$8))</f>
        <v/>
      </c>
    </row>
    <row r="202">
      <c r="A202" s="10" t="n">
        <v>201</v>
      </c>
      <c r="B202" s="11" t="inlineStr">
        <is>
          <t>إكسسوارات الجوال والإلكترونيات</t>
        </is>
      </c>
      <c r="C202" s="11" t="inlineStr">
        <is>
          <t>مروحة عنق محمولة</t>
        </is>
      </c>
      <c r="D202" s="11" t="inlineStr">
        <is>
          <t>portable neck fan bladeless</t>
        </is>
      </c>
      <c r="E202" s="12" t="n">
        <v>68</v>
      </c>
      <c r="F202" s="10" t="inlineStr">
        <is>
          <t>تقدير</t>
        </is>
      </c>
      <c r="G202" s="10" t="inlineStr">
        <is>
          <t>تقدير</t>
        </is>
      </c>
      <c r="H202" s="10" t="inlineStr">
        <is>
          <t>لم تُفحص</t>
        </is>
      </c>
      <c r="I202" s="10" t="inlineStr">
        <is>
          <t>لم يُفحص</t>
        </is>
      </c>
      <c r="J202" s="13" t="n">
        <v>6</v>
      </c>
      <c r="K202" s="11" t="inlineStr">
        <is>
          <t>تقدير</t>
        </is>
      </c>
      <c r="L202" s="14" t="n">
        <v>0.4</v>
      </c>
      <c r="M202" s="10" t="inlineStr">
        <is>
          <t>متوسط</t>
        </is>
      </c>
      <c r="N202" s="11" t="inlineStr">
        <is>
          <t>طوال السنة</t>
        </is>
      </c>
      <c r="O202" s="11" t="inlineStr">
        <is>
          <t>SABER + بطارية ليثيوم</t>
        </is>
      </c>
      <c r="P202" s="15" t="n">
        <v>0.15</v>
      </c>
      <c r="Q202" s="14" t="n">
        <v>9.5</v>
      </c>
      <c r="R202" s="14" t="n">
        <v>50</v>
      </c>
      <c r="S202" s="16">
        <f>J202*'الافتراضات'!$B$2*(1+'الافتراضات'!$B$3)</f>
        <v/>
      </c>
      <c r="T202" s="16">
        <f>L202*'الافتراضات'!$B$4</f>
        <v/>
      </c>
      <c r="U202" s="16">
        <f>(S202+T202)*'الافتراضات'!$B$5</f>
        <v/>
      </c>
      <c r="V202" s="16">
        <f>S202+T202+U202</f>
        <v/>
      </c>
      <c r="W202" s="16">
        <f>MAX(1,E202*P202)</f>
        <v/>
      </c>
      <c r="X202" s="16">
        <f>E202*'الافتراضات'!$B$7</f>
        <v/>
      </c>
      <c r="Y202" s="16">
        <f>E202*'الافتراضات'!$B$8</f>
        <v/>
      </c>
      <c r="Z202" s="16">
        <f>E202/(1+'الافتراضات'!$B$6)</f>
        <v/>
      </c>
      <c r="AA202" s="16">
        <f>Z202-V202-W202-Q202-X202-Y202</f>
        <v/>
      </c>
      <c r="AB202" s="17">
        <f>IF(Z202=0,0,AA202/Z202)</f>
        <v/>
      </c>
      <c r="AC202" s="17">
        <f>IF(V202=0,0,AA202/V202)</f>
        <v/>
      </c>
      <c r="AD202" s="18">
        <f>R202*V202</f>
        <v/>
      </c>
      <c r="AE202" s="16">
        <f>IF(AB202&gt;='الافتراضات'!$B$9,IF(O202="لا","ابدأ به","جيد – يحتاج شهادة"),IF(AB202&gt;='الافتراضات'!$B$10,"مقبول","ضعيف"))</f>
        <v/>
      </c>
      <c r="AF202" s="16">
        <f>IF((1-'الافتراضات'!$B$9)/(1+'الافتراضات'!$B$6)-P202-'الافتراضات'!$B$7-'الافتراضات'!$B$8&lt;=0,0,(V202+Q202)/((1-'الافتراضات'!$B$9)/(1+'الافتراضات'!$B$6)-P202-'الافتراضات'!$B$7-'الافتراضات'!$B$8))</f>
        <v/>
      </c>
    </row>
    <row r="203">
      <c r="A203" s="10" t="n">
        <v>202</v>
      </c>
      <c r="B203" s="11" t="inlineStr">
        <is>
          <t>السيارات والدراجات</t>
        </is>
      </c>
      <c r="C203" s="11" t="inlineStr">
        <is>
          <t>مقعد أطفال للسيارة</t>
        </is>
      </c>
      <c r="D203" s="11" t="inlineStr">
        <is>
          <t>child car seat</t>
        </is>
      </c>
      <c r="E203" s="12" t="n">
        <v>317</v>
      </c>
      <c r="F203" s="10" t="inlineStr">
        <is>
          <t>تقدير</t>
        </is>
      </c>
      <c r="G203" s="10" t="inlineStr">
        <is>
          <t>تقدير</t>
        </is>
      </c>
      <c r="H203" s="10" t="inlineStr">
        <is>
          <t>لم تُفحص</t>
        </is>
      </c>
      <c r="I203" s="10" t="inlineStr">
        <is>
          <t>لم يُفحص</t>
        </is>
      </c>
      <c r="J203" s="13" t="n">
        <v>28</v>
      </c>
      <c r="K203" s="11" t="inlineStr">
        <is>
          <t>تقدير</t>
        </is>
      </c>
      <c r="L203" s="14" t="n">
        <v>5</v>
      </c>
      <c r="M203" s="10" t="inlineStr">
        <is>
          <t>كبير</t>
        </is>
      </c>
      <c r="N203" s="11" t="inlineStr">
        <is>
          <t>طوال السنة</t>
        </is>
      </c>
      <c r="O203" s="11" t="inlineStr">
        <is>
          <t>تحقق من اللوائح</t>
        </is>
      </c>
      <c r="P203" s="15" t="n">
        <v>0.15</v>
      </c>
      <c r="Q203" s="14" t="n">
        <v>18</v>
      </c>
      <c r="R203" s="14" t="n">
        <v>50</v>
      </c>
      <c r="S203" s="16">
        <f>J203*'الافتراضات'!$B$2*(1+'الافتراضات'!$B$3)</f>
        <v/>
      </c>
      <c r="T203" s="16">
        <f>L203*'الافتراضات'!$B$4</f>
        <v/>
      </c>
      <c r="U203" s="16">
        <f>(S203+T203)*'الافتراضات'!$B$5</f>
        <v/>
      </c>
      <c r="V203" s="16">
        <f>S203+T203+U203</f>
        <v/>
      </c>
      <c r="W203" s="16">
        <f>MAX(1,E203*P203)</f>
        <v/>
      </c>
      <c r="X203" s="16">
        <f>E203*'الافتراضات'!$B$7</f>
        <v/>
      </c>
      <c r="Y203" s="16">
        <f>E203*'الافتراضات'!$B$8</f>
        <v/>
      </c>
      <c r="Z203" s="16">
        <f>E203/(1+'الافتراضات'!$B$6)</f>
        <v/>
      </c>
      <c r="AA203" s="16">
        <f>Z203-V203-W203-Q203-X203-Y203</f>
        <v/>
      </c>
      <c r="AB203" s="17">
        <f>IF(Z203=0,0,AA203/Z203)</f>
        <v/>
      </c>
      <c r="AC203" s="17">
        <f>IF(V203=0,0,AA203/V203)</f>
        <v/>
      </c>
      <c r="AD203" s="18">
        <f>R203*V203</f>
        <v/>
      </c>
      <c r="AE203" s="16">
        <f>IF(AB203&gt;='الافتراضات'!$B$9,IF(O203="لا","ابدأ به","جيد – يحتاج شهادة"),IF(AB203&gt;='الافتراضات'!$B$10,"مقبول","ضعيف"))</f>
        <v/>
      </c>
      <c r="AF203" s="16">
        <f>IF((1-'الافتراضات'!$B$9)/(1+'الافتراضات'!$B$6)-P203-'الافتراضات'!$B$7-'الافتراضات'!$B$8&lt;=0,0,(V203+Q203)/((1-'الافتراضات'!$B$9)/(1+'الافتراضات'!$B$6)-P203-'الافتراضات'!$B$7-'الافتراضات'!$B$8))</f>
        <v/>
      </c>
    </row>
    <row r="204">
      <c r="A204" s="10" t="n">
        <v>203</v>
      </c>
      <c r="B204" s="11" t="inlineStr">
        <is>
          <t>الأطفال والألعاب</t>
        </is>
      </c>
      <c r="C204" s="11" t="inlineStr">
        <is>
          <t>سرير سفر للأطفال</t>
        </is>
      </c>
      <c r="D204" s="11" t="inlineStr">
        <is>
          <t>baby travel cot</t>
        </is>
      </c>
      <c r="E204" s="12" t="n">
        <v>317</v>
      </c>
      <c r="F204" s="10" t="inlineStr">
        <is>
          <t>تقدير</t>
        </is>
      </c>
      <c r="G204" s="10" t="inlineStr">
        <is>
          <t>تقدير</t>
        </is>
      </c>
      <c r="H204" s="10" t="inlineStr">
        <is>
          <t>لم تُفحص</t>
        </is>
      </c>
      <c r="I204" s="10" t="inlineStr">
        <is>
          <t>لم يُفحص</t>
        </is>
      </c>
      <c r="J204" s="13" t="n">
        <v>28</v>
      </c>
      <c r="K204" s="11" t="inlineStr">
        <is>
          <t>تقدير</t>
        </is>
      </c>
      <c r="L204" s="14" t="n">
        <v>5</v>
      </c>
      <c r="M204" s="10" t="inlineStr">
        <is>
          <t>كبير</t>
        </is>
      </c>
      <c r="N204" s="11" t="inlineStr">
        <is>
          <t>طوال السنة</t>
        </is>
      </c>
      <c r="O204" s="11" t="inlineStr">
        <is>
          <t>تحقق من اللوائح</t>
        </is>
      </c>
      <c r="P204" s="15" t="n">
        <v>0.15</v>
      </c>
      <c r="Q204" s="14" t="n">
        <v>18</v>
      </c>
      <c r="R204" s="14" t="n">
        <v>50</v>
      </c>
      <c r="S204" s="16">
        <f>J204*'الافتراضات'!$B$2*(1+'الافتراضات'!$B$3)</f>
        <v/>
      </c>
      <c r="T204" s="16">
        <f>L204*'الافتراضات'!$B$4</f>
        <v/>
      </c>
      <c r="U204" s="16">
        <f>(S204+T204)*'الافتراضات'!$B$5</f>
        <v/>
      </c>
      <c r="V204" s="16">
        <f>S204+T204+U204</f>
        <v/>
      </c>
      <c r="W204" s="16">
        <f>MAX(1,E204*P204)</f>
        <v/>
      </c>
      <c r="X204" s="16">
        <f>E204*'الافتراضات'!$B$7</f>
        <v/>
      </c>
      <c r="Y204" s="16">
        <f>E204*'الافتراضات'!$B$8</f>
        <v/>
      </c>
      <c r="Z204" s="16">
        <f>E204/(1+'الافتراضات'!$B$6)</f>
        <v/>
      </c>
      <c r="AA204" s="16">
        <f>Z204-V204-W204-Q204-X204-Y204</f>
        <v/>
      </c>
      <c r="AB204" s="17">
        <f>IF(Z204=0,0,AA204/Z204)</f>
        <v/>
      </c>
      <c r="AC204" s="17">
        <f>IF(V204=0,0,AA204/V204)</f>
        <v/>
      </c>
      <c r="AD204" s="18">
        <f>R204*V204</f>
        <v/>
      </c>
      <c r="AE204" s="16">
        <f>IF(AB204&gt;='الافتراضات'!$B$9,IF(O204="لا","ابدأ به","جيد – يحتاج شهادة"),IF(AB204&gt;='الافتراضات'!$B$10,"مقبول","ضعيف"))</f>
        <v/>
      </c>
      <c r="AF204" s="16">
        <f>IF((1-'الافتراضات'!$B$9)/(1+'الافتراضات'!$B$6)-P204-'الافتراضات'!$B$7-'الافتراضات'!$B$8&lt;=0,0,(V204+Q204)/((1-'الافتراضات'!$B$9)/(1+'الافتراضات'!$B$6)-P204-'الافتراضات'!$B$7-'الافتراضات'!$B$8))</f>
        <v/>
      </c>
    </row>
    <row r="205">
      <c r="A205" s="10" t="n">
        <v>204</v>
      </c>
      <c r="B205" s="11" t="inlineStr">
        <is>
          <t>الحيوانات الأليفة</t>
        </is>
      </c>
      <c r="C205" s="11" t="inlineStr">
        <is>
          <t>نافورة مياه للقطط</t>
        </is>
      </c>
      <c r="D205" s="11" t="inlineStr">
        <is>
          <t>cat water fountain</t>
        </is>
      </c>
      <c r="E205" s="12" t="n">
        <v>91</v>
      </c>
      <c r="F205" s="10" t="inlineStr">
        <is>
          <t>تقدير</t>
        </is>
      </c>
      <c r="G205" s="10" t="inlineStr">
        <is>
          <t>تقدير</t>
        </is>
      </c>
      <c r="H205" s="10" t="inlineStr">
        <is>
          <t>لم تُفحص</t>
        </is>
      </c>
      <c r="I205" s="10" t="inlineStr">
        <is>
          <t>لم يُفحص</t>
        </is>
      </c>
      <c r="J205" s="13" t="n">
        <v>8</v>
      </c>
      <c r="K205" s="11" t="inlineStr">
        <is>
          <t>تقدير</t>
        </is>
      </c>
      <c r="L205" s="14" t="n">
        <v>0.9</v>
      </c>
      <c r="M205" s="10" t="inlineStr">
        <is>
          <t>متوسط</t>
        </is>
      </c>
      <c r="N205" s="11" t="inlineStr">
        <is>
          <t>طوال السنة</t>
        </is>
      </c>
      <c r="O205" s="11" t="inlineStr">
        <is>
          <t>SABER</t>
        </is>
      </c>
      <c r="P205" s="15" t="n">
        <v>0.15</v>
      </c>
      <c r="Q205" s="14" t="n">
        <v>10</v>
      </c>
      <c r="R205" s="14" t="n">
        <v>50</v>
      </c>
      <c r="S205" s="16">
        <f>J205*'الافتراضات'!$B$2*(1+'الافتراضات'!$B$3)</f>
        <v/>
      </c>
      <c r="T205" s="16">
        <f>L205*'الافتراضات'!$B$4</f>
        <v/>
      </c>
      <c r="U205" s="16">
        <f>(S205+T205)*'الافتراضات'!$B$5</f>
        <v/>
      </c>
      <c r="V205" s="16">
        <f>S205+T205+U205</f>
        <v/>
      </c>
      <c r="W205" s="16">
        <f>MAX(1,E205*P205)</f>
        <v/>
      </c>
      <c r="X205" s="16">
        <f>E205*'الافتراضات'!$B$7</f>
        <v/>
      </c>
      <c r="Y205" s="16">
        <f>E205*'الافتراضات'!$B$8</f>
        <v/>
      </c>
      <c r="Z205" s="16">
        <f>E205/(1+'الافتراضات'!$B$6)</f>
        <v/>
      </c>
      <c r="AA205" s="16">
        <f>Z205-V205-W205-Q205-X205-Y205</f>
        <v/>
      </c>
      <c r="AB205" s="17">
        <f>IF(Z205=0,0,AA205/Z205)</f>
        <v/>
      </c>
      <c r="AC205" s="17">
        <f>IF(V205=0,0,AA205/V205)</f>
        <v/>
      </c>
      <c r="AD205" s="18">
        <f>R205*V205</f>
        <v/>
      </c>
      <c r="AE205" s="16">
        <f>IF(AB205&gt;='الافتراضات'!$B$9,IF(O205="لا","ابدأ به","جيد – يحتاج شهادة"),IF(AB205&gt;='الافتراضات'!$B$10,"مقبول","ضعيف"))</f>
        <v/>
      </c>
      <c r="AF205" s="16">
        <f>IF((1-'الافتراضات'!$B$9)/(1+'الافتراضات'!$B$6)-P205-'الافتراضات'!$B$7-'الافتراضات'!$B$8&lt;=0,0,(V205+Q205)/((1-'الافتراضات'!$B$9)/(1+'الافتراضات'!$B$6)-P205-'الافتراضات'!$B$7-'الافتراضات'!$B$8))</f>
        <v/>
      </c>
    </row>
    <row r="206">
      <c r="A206" s="10" t="n">
        <v>205</v>
      </c>
      <c r="B206" s="11" t="inlineStr">
        <is>
          <t>الأطفال والألعاب</t>
        </is>
      </c>
      <c r="C206" s="11" t="inlineStr">
        <is>
          <t>دراجة توازن للأطفال</t>
        </is>
      </c>
      <c r="D206" s="11" t="inlineStr">
        <is>
          <t>kids balance bike</t>
        </is>
      </c>
      <c r="E206" s="12" t="n">
        <v>204</v>
      </c>
      <c r="F206" s="10" t="inlineStr">
        <is>
          <t>تقدير</t>
        </is>
      </c>
      <c r="G206" s="10" t="inlineStr">
        <is>
          <t>تقدير</t>
        </is>
      </c>
      <c r="H206" s="10" t="inlineStr">
        <is>
          <t>لم تُفحص</t>
        </is>
      </c>
      <c r="I206" s="10" t="inlineStr">
        <is>
          <t>لم يُفحص</t>
        </is>
      </c>
      <c r="J206" s="13" t="n">
        <v>18</v>
      </c>
      <c r="K206" s="11" t="inlineStr">
        <is>
          <t>تقدير</t>
        </is>
      </c>
      <c r="L206" s="14" t="n">
        <v>3</v>
      </c>
      <c r="M206" s="10" t="inlineStr">
        <is>
          <t>كبير</t>
        </is>
      </c>
      <c r="N206" s="11" t="inlineStr">
        <is>
          <t>طوال السنة</t>
        </is>
      </c>
      <c r="O206" s="11" t="inlineStr">
        <is>
          <t>تحقق من اللوائح</t>
        </is>
      </c>
      <c r="P206" s="15" t="n">
        <v>0.14</v>
      </c>
      <c r="Q206" s="14" t="n">
        <v>16</v>
      </c>
      <c r="R206" s="14" t="n">
        <v>50</v>
      </c>
      <c r="S206" s="16">
        <f>J206*'الافتراضات'!$B$2*(1+'الافتراضات'!$B$3)</f>
        <v/>
      </c>
      <c r="T206" s="16">
        <f>L206*'الافتراضات'!$B$4</f>
        <v/>
      </c>
      <c r="U206" s="16">
        <f>(S206+T206)*'الافتراضات'!$B$5</f>
        <v/>
      </c>
      <c r="V206" s="16">
        <f>S206+T206+U206</f>
        <v/>
      </c>
      <c r="W206" s="16">
        <f>MAX(1,E206*P206)</f>
        <v/>
      </c>
      <c r="X206" s="16">
        <f>E206*'الافتراضات'!$B$7</f>
        <v/>
      </c>
      <c r="Y206" s="16">
        <f>E206*'الافتراضات'!$B$8</f>
        <v/>
      </c>
      <c r="Z206" s="16">
        <f>E206/(1+'الافتراضات'!$B$6)</f>
        <v/>
      </c>
      <c r="AA206" s="16">
        <f>Z206-V206-W206-Q206-X206-Y206</f>
        <v/>
      </c>
      <c r="AB206" s="17">
        <f>IF(Z206=0,0,AA206/Z206)</f>
        <v/>
      </c>
      <c r="AC206" s="17">
        <f>IF(V206=0,0,AA206/V206)</f>
        <v/>
      </c>
      <c r="AD206" s="18">
        <f>R206*V206</f>
        <v/>
      </c>
      <c r="AE206" s="16">
        <f>IF(AB206&gt;='الافتراضات'!$B$9,IF(O206="لا","ابدأ به","جيد – يحتاج شهادة"),IF(AB206&gt;='الافتراضات'!$B$10,"مقبول","ضعيف"))</f>
        <v/>
      </c>
      <c r="AF206" s="16">
        <f>IF((1-'الافتراضات'!$B$9)/(1+'الافتراضات'!$B$6)-P206-'الافتراضات'!$B$7-'الافتراضات'!$B$8&lt;=0,0,(V206+Q206)/((1-'الافتراضات'!$B$9)/(1+'الافتراضات'!$B$6)-P206-'الافتراضات'!$B$7-'الافتراضات'!$B$8))</f>
        <v/>
      </c>
    </row>
    <row r="207">
      <c r="A207" s="10" t="n">
        <v>206</v>
      </c>
      <c r="B207" s="11" t="inlineStr">
        <is>
          <t>الإضاءة والديكور</t>
        </is>
      </c>
      <c r="C207" s="11" t="inlineStr">
        <is>
          <t>ثريا LED للسقف</t>
        </is>
      </c>
      <c r="D207" s="11" t="inlineStr">
        <is>
          <t>LED ceiling light modern</t>
        </is>
      </c>
      <c r="E207" s="12" t="n">
        <v>204</v>
      </c>
      <c r="F207" s="10" t="inlineStr">
        <is>
          <t>تقدير</t>
        </is>
      </c>
      <c r="G207" s="10" t="inlineStr">
        <is>
          <t>تقدير</t>
        </is>
      </c>
      <c r="H207" s="10" t="inlineStr">
        <is>
          <t>لم تُفحص</t>
        </is>
      </c>
      <c r="I207" s="10" t="inlineStr">
        <is>
          <t>لم يُفحص</t>
        </is>
      </c>
      <c r="J207" s="13" t="n">
        <v>18</v>
      </c>
      <c r="K207" s="11" t="inlineStr">
        <is>
          <t>تقدير</t>
        </is>
      </c>
      <c r="L207" s="14" t="n">
        <v>3</v>
      </c>
      <c r="M207" s="10" t="inlineStr">
        <is>
          <t>كبير</t>
        </is>
      </c>
      <c r="N207" s="11" t="inlineStr">
        <is>
          <t>طوال السنة</t>
        </is>
      </c>
      <c r="O207" s="11" t="inlineStr">
        <is>
          <t>SABER</t>
        </is>
      </c>
      <c r="P207" s="15" t="n">
        <v>0.14</v>
      </c>
      <c r="Q207" s="14" t="n">
        <v>16</v>
      </c>
      <c r="R207" s="14" t="n">
        <v>50</v>
      </c>
      <c r="S207" s="16">
        <f>J207*'الافتراضات'!$B$2*(1+'الافتراضات'!$B$3)</f>
        <v/>
      </c>
      <c r="T207" s="16">
        <f>L207*'الافتراضات'!$B$4</f>
        <v/>
      </c>
      <c r="U207" s="16">
        <f>(S207+T207)*'الافتراضات'!$B$5</f>
        <v/>
      </c>
      <c r="V207" s="16">
        <f>S207+T207+U207</f>
        <v/>
      </c>
      <c r="W207" s="16">
        <f>MAX(1,E207*P207)</f>
        <v/>
      </c>
      <c r="X207" s="16">
        <f>E207*'الافتراضات'!$B$7</f>
        <v/>
      </c>
      <c r="Y207" s="16">
        <f>E207*'الافتراضات'!$B$8</f>
        <v/>
      </c>
      <c r="Z207" s="16">
        <f>E207/(1+'الافتراضات'!$B$6)</f>
        <v/>
      </c>
      <c r="AA207" s="16">
        <f>Z207-V207-W207-Q207-X207-Y207</f>
        <v/>
      </c>
      <c r="AB207" s="17">
        <f>IF(Z207=0,0,AA207/Z207)</f>
        <v/>
      </c>
      <c r="AC207" s="17">
        <f>IF(V207=0,0,AA207/V207)</f>
        <v/>
      </c>
      <c r="AD207" s="18">
        <f>R207*V207</f>
        <v/>
      </c>
      <c r="AE207" s="16">
        <f>IF(AB207&gt;='الافتراضات'!$B$9,IF(O207="لا","ابدأ به","جيد – يحتاج شهادة"),IF(AB207&gt;='الافتراضات'!$B$10,"مقبول","ضعيف"))</f>
        <v/>
      </c>
      <c r="AF207" s="16">
        <f>IF((1-'الافتراضات'!$B$9)/(1+'الافتراضات'!$B$6)-P207-'الافتراضات'!$B$7-'الافتراضات'!$B$8&lt;=0,0,(V207+Q207)/((1-'الافتراضات'!$B$9)/(1+'الافتراضات'!$B$6)-P207-'الافتراضات'!$B$7-'الافتراضات'!$B$8))</f>
        <v/>
      </c>
    </row>
    <row r="208">
      <c r="A208" s="10" t="n">
        <v>207</v>
      </c>
      <c r="B208" s="11" t="inlineStr">
        <is>
          <t>إكسسوارات الجوال والإلكترونيات</t>
        </is>
      </c>
      <c r="C208" s="11" t="inlineStr">
        <is>
          <t>محطة طقس منزلية</t>
        </is>
      </c>
      <c r="D208" s="11" t="inlineStr">
        <is>
          <t>home weather station clock</t>
        </is>
      </c>
      <c r="E208" s="12" t="n">
        <v>62</v>
      </c>
      <c r="F208" s="10" t="inlineStr">
        <is>
          <t>تقدير</t>
        </is>
      </c>
      <c r="G208" s="10" t="inlineStr">
        <is>
          <t>تقدير</t>
        </is>
      </c>
      <c r="H208" s="10" t="inlineStr">
        <is>
          <t>لم تُفحص</t>
        </is>
      </c>
      <c r="I208" s="10" t="inlineStr">
        <is>
          <t>لم يُفحص</t>
        </is>
      </c>
      <c r="J208" s="13" t="n">
        <v>5.5</v>
      </c>
      <c r="K208" s="11" t="inlineStr">
        <is>
          <t>تقدير</t>
        </is>
      </c>
      <c r="L208" s="14" t="n">
        <v>0.35</v>
      </c>
      <c r="M208" s="10" t="inlineStr">
        <is>
          <t>متوسط</t>
        </is>
      </c>
      <c r="N208" s="11" t="inlineStr">
        <is>
          <t>طوال السنة</t>
        </is>
      </c>
      <c r="O208" s="11" t="inlineStr">
        <is>
          <t>SABER + بطارية ليثيوم</t>
        </is>
      </c>
      <c r="P208" s="15" t="n">
        <v>0.14</v>
      </c>
      <c r="Q208" s="14" t="n">
        <v>9.5</v>
      </c>
      <c r="R208" s="14" t="n">
        <v>50</v>
      </c>
      <c r="S208" s="16">
        <f>J208*'الافتراضات'!$B$2*(1+'الافتراضات'!$B$3)</f>
        <v/>
      </c>
      <c r="T208" s="16">
        <f>L208*'الافتراضات'!$B$4</f>
        <v/>
      </c>
      <c r="U208" s="16">
        <f>(S208+T208)*'الافتراضات'!$B$5</f>
        <v/>
      </c>
      <c r="V208" s="16">
        <f>S208+T208+U208</f>
        <v/>
      </c>
      <c r="W208" s="16">
        <f>MAX(1,E208*P208)</f>
        <v/>
      </c>
      <c r="X208" s="16">
        <f>E208*'الافتراضات'!$B$7</f>
        <v/>
      </c>
      <c r="Y208" s="16">
        <f>E208*'الافتراضات'!$B$8</f>
        <v/>
      </c>
      <c r="Z208" s="16">
        <f>E208/(1+'الافتراضات'!$B$6)</f>
        <v/>
      </c>
      <c r="AA208" s="16">
        <f>Z208-V208-W208-Q208-X208-Y208</f>
        <v/>
      </c>
      <c r="AB208" s="17">
        <f>IF(Z208=0,0,AA208/Z208)</f>
        <v/>
      </c>
      <c r="AC208" s="17">
        <f>IF(V208=0,0,AA208/V208)</f>
        <v/>
      </c>
      <c r="AD208" s="18">
        <f>R208*V208</f>
        <v/>
      </c>
      <c r="AE208" s="16">
        <f>IF(AB208&gt;='الافتراضات'!$B$9,IF(O208="لا","ابدأ به","جيد – يحتاج شهادة"),IF(AB208&gt;='الافتراضات'!$B$10,"مقبول","ضعيف"))</f>
        <v/>
      </c>
      <c r="AF208" s="16">
        <f>IF((1-'الافتراضات'!$B$9)/(1+'الافتراضات'!$B$6)-P208-'الافتراضات'!$B$7-'الافتراضات'!$B$8&lt;=0,0,(V208+Q208)/((1-'الافتراضات'!$B$9)/(1+'الافتراضات'!$B$6)-P208-'الافتراضات'!$B$7-'الافتراضات'!$B$8))</f>
        <v/>
      </c>
    </row>
    <row r="209">
      <c r="A209" s="10" t="n">
        <v>208</v>
      </c>
      <c r="B209" s="11" t="inlineStr">
        <is>
          <t>إكسسوارات الجوال والإلكترونيات</t>
        </is>
      </c>
      <c r="C209" s="11" t="inlineStr">
        <is>
          <t>شاشة عرض بروجكتر 100 بوصة</t>
        </is>
      </c>
      <c r="D209" s="11" t="inlineStr">
        <is>
          <t>projector screen 100 inch</t>
        </is>
      </c>
      <c r="E209" s="12" t="n">
        <v>158</v>
      </c>
      <c r="F209" s="10" t="inlineStr">
        <is>
          <t>تقدير</t>
        </is>
      </c>
      <c r="G209" s="10" t="inlineStr">
        <is>
          <t>تقدير</t>
        </is>
      </c>
      <c r="H209" s="10" t="inlineStr">
        <is>
          <t>لم تُفحص</t>
        </is>
      </c>
      <c r="I209" s="10" t="inlineStr">
        <is>
          <t>لم يُفحص</t>
        </is>
      </c>
      <c r="J209" s="13" t="n">
        <v>14</v>
      </c>
      <c r="K209" s="11" t="inlineStr">
        <is>
          <t>تقدير</t>
        </is>
      </c>
      <c r="L209" s="14" t="n">
        <v>2</v>
      </c>
      <c r="M209" s="10" t="inlineStr">
        <is>
          <t>كبير</t>
        </is>
      </c>
      <c r="N209" s="11" t="inlineStr">
        <is>
          <t>طوال السنة</t>
        </is>
      </c>
      <c r="O209" s="11" t="inlineStr">
        <is>
          <t>لا</t>
        </is>
      </c>
      <c r="P209" s="15" t="n">
        <v>0.14</v>
      </c>
      <c r="Q209" s="14" t="n">
        <v>15</v>
      </c>
      <c r="R209" s="14" t="n">
        <v>50</v>
      </c>
      <c r="S209" s="16">
        <f>J209*'الافتراضات'!$B$2*(1+'الافتراضات'!$B$3)</f>
        <v/>
      </c>
      <c r="T209" s="16">
        <f>L209*'الافتراضات'!$B$4</f>
        <v/>
      </c>
      <c r="U209" s="16">
        <f>(S209+T209)*'الافتراضات'!$B$5</f>
        <v/>
      </c>
      <c r="V209" s="16">
        <f>S209+T209+U209</f>
        <v/>
      </c>
      <c r="W209" s="16">
        <f>MAX(1,E209*P209)</f>
        <v/>
      </c>
      <c r="X209" s="16">
        <f>E209*'الافتراضات'!$B$7</f>
        <v/>
      </c>
      <c r="Y209" s="16">
        <f>E209*'الافتراضات'!$B$8</f>
        <v/>
      </c>
      <c r="Z209" s="16">
        <f>E209/(1+'الافتراضات'!$B$6)</f>
        <v/>
      </c>
      <c r="AA209" s="16">
        <f>Z209-V209-W209-Q209-X209-Y209</f>
        <v/>
      </c>
      <c r="AB209" s="17">
        <f>IF(Z209=0,0,AA209/Z209)</f>
        <v/>
      </c>
      <c r="AC209" s="17">
        <f>IF(V209=0,0,AA209/V209)</f>
        <v/>
      </c>
      <c r="AD209" s="18">
        <f>R209*V209</f>
        <v/>
      </c>
      <c r="AE209" s="16">
        <f>IF(AB209&gt;='الافتراضات'!$B$9,IF(O209="لا","ابدأ به","جيد – يحتاج شهادة"),IF(AB209&gt;='الافتراضات'!$B$10,"مقبول","ضعيف"))</f>
        <v/>
      </c>
      <c r="AF209" s="16">
        <f>IF((1-'الافتراضات'!$B$9)/(1+'الافتراضات'!$B$6)-P209-'الافتراضات'!$B$7-'الافتراضات'!$B$8&lt;=0,0,(V209+Q209)/((1-'الافتراضات'!$B$9)/(1+'الافتراضات'!$B$6)-P209-'الافتراضات'!$B$7-'الافتراضات'!$B$8))</f>
        <v/>
      </c>
    </row>
    <row r="210">
      <c r="A210" s="10" t="n">
        <v>209</v>
      </c>
      <c r="B210" s="11" t="inlineStr">
        <is>
          <t>المكتب والدراسة</t>
        </is>
      </c>
      <c r="C210" s="11" t="inlineStr">
        <is>
          <t>كرسي مكتب شبك</t>
        </is>
      </c>
      <c r="D210" s="11" t="inlineStr">
        <is>
          <t>ergonomic mesh office chair</t>
        </is>
      </c>
      <c r="E210" s="12" t="n">
        <v>396</v>
      </c>
      <c r="F210" s="10" t="inlineStr">
        <is>
          <t>تقدير</t>
        </is>
      </c>
      <c r="G210" s="10" t="inlineStr">
        <is>
          <t>تقدير</t>
        </is>
      </c>
      <c r="H210" s="10" t="inlineStr">
        <is>
          <t>لم تُفحص</t>
        </is>
      </c>
      <c r="I210" s="10" t="inlineStr">
        <is>
          <t>لم يُفحص</t>
        </is>
      </c>
      <c r="J210" s="13" t="n">
        <v>35</v>
      </c>
      <c r="K210" s="11" t="inlineStr">
        <is>
          <t>تقدير</t>
        </is>
      </c>
      <c r="L210" s="14" t="n">
        <v>8</v>
      </c>
      <c r="M210" s="10" t="inlineStr">
        <is>
          <t>كبير</t>
        </is>
      </c>
      <c r="N210" s="11" t="inlineStr">
        <is>
          <t>طوال السنة</t>
        </is>
      </c>
      <c r="O210" s="11" t="inlineStr">
        <is>
          <t>لا</t>
        </is>
      </c>
      <c r="P210" s="15" t="n">
        <v>0.12</v>
      </c>
      <c r="Q210" s="14" t="n">
        <v>21</v>
      </c>
      <c r="R210" s="14" t="n">
        <v>50</v>
      </c>
      <c r="S210" s="16">
        <f>J210*'الافتراضات'!$B$2*(1+'الافتراضات'!$B$3)</f>
        <v/>
      </c>
      <c r="T210" s="16">
        <f>L210*'الافتراضات'!$B$4</f>
        <v/>
      </c>
      <c r="U210" s="16">
        <f>(S210+T210)*'الافتراضات'!$B$5</f>
        <v/>
      </c>
      <c r="V210" s="16">
        <f>S210+T210+U210</f>
        <v/>
      </c>
      <c r="W210" s="16">
        <f>MAX(1,E210*P210)</f>
        <v/>
      </c>
      <c r="X210" s="16">
        <f>E210*'الافتراضات'!$B$7</f>
        <v/>
      </c>
      <c r="Y210" s="16">
        <f>E210*'الافتراضات'!$B$8</f>
        <v/>
      </c>
      <c r="Z210" s="16">
        <f>E210/(1+'الافتراضات'!$B$6)</f>
        <v/>
      </c>
      <c r="AA210" s="16">
        <f>Z210-V210-W210-Q210-X210-Y210</f>
        <v/>
      </c>
      <c r="AB210" s="17">
        <f>IF(Z210=0,0,AA210/Z210)</f>
        <v/>
      </c>
      <c r="AC210" s="17">
        <f>IF(V210=0,0,AA210/V210)</f>
        <v/>
      </c>
      <c r="AD210" s="18">
        <f>R210*V210</f>
        <v/>
      </c>
      <c r="AE210" s="16">
        <f>IF(AB210&gt;='الافتراضات'!$B$9,IF(O210="لا","ابدأ به","جيد – يحتاج شهادة"),IF(AB210&gt;='الافتراضات'!$B$10,"مقبول","ضعيف"))</f>
        <v/>
      </c>
      <c r="AF210" s="16">
        <f>IF((1-'الافتراضات'!$B$9)/(1+'الافتراضات'!$B$6)-P210-'الافتراضات'!$B$7-'الافتراضات'!$B$8&lt;=0,0,(V210+Q210)/((1-'الافتراضات'!$B$9)/(1+'الافتراضات'!$B$6)-P210-'الافتراضات'!$B$7-'الافتراضات'!$B$8))</f>
        <v/>
      </c>
    </row>
    <row r="211">
      <c r="A211" s="10" t="n">
        <v>210</v>
      </c>
      <c r="B211" s="11" t="inlineStr">
        <is>
          <t>المنزل والمطبخ</t>
        </is>
      </c>
      <c r="C211" s="11" t="inlineStr">
        <is>
          <t>مرتبة طبية سرير 120</t>
        </is>
      </c>
      <c r="D211" s="11" t="inlineStr">
        <is>
          <t>mattress topper memory foam</t>
        </is>
      </c>
      <c r="E211" s="12" t="n">
        <v>249</v>
      </c>
      <c r="F211" s="10" t="inlineStr">
        <is>
          <t>تقدير</t>
        </is>
      </c>
      <c r="G211" s="10" t="inlineStr">
        <is>
          <t>تقدير</t>
        </is>
      </c>
      <c r="H211" s="10" t="inlineStr">
        <is>
          <t>لم تُفحص</t>
        </is>
      </c>
      <c r="I211" s="10" t="inlineStr">
        <is>
          <t>لم يُفحص</t>
        </is>
      </c>
      <c r="J211" s="13" t="n">
        <v>22</v>
      </c>
      <c r="K211" s="11" t="inlineStr">
        <is>
          <t>تقدير</t>
        </is>
      </c>
      <c r="L211" s="14" t="n">
        <v>4</v>
      </c>
      <c r="M211" s="10" t="inlineStr">
        <is>
          <t>كبير</t>
        </is>
      </c>
      <c r="N211" s="11" t="inlineStr">
        <is>
          <t>طوال السنة</t>
        </is>
      </c>
      <c r="O211" s="11" t="inlineStr">
        <is>
          <t>لا</t>
        </is>
      </c>
      <c r="P211" s="15" t="n">
        <v>0.14</v>
      </c>
      <c r="Q211" s="14" t="n">
        <v>17</v>
      </c>
      <c r="R211" s="14" t="n">
        <v>50</v>
      </c>
      <c r="S211" s="16">
        <f>J211*'الافتراضات'!$B$2*(1+'الافتراضات'!$B$3)</f>
        <v/>
      </c>
      <c r="T211" s="16">
        <f>L211*'الافتراضات'!$B$4</f>
        <v/>
      </c>
      <c r="U211" s="16">
        <f>(S211+T211)*'الافتراضات'!$B$5</f>
        <v/>
      </c>
      <c r="V211" s="16">
        <f>S211+T211+U211</f>
        <v/>
      </c>
      <c r="W211" s="16">
        <f>MAX(1,E211*P211)</f>
        <v/>
      </c>
      <c r="X211" s="16">
        <f>E211*'الافتراضات'!$B$7</f>
        <v/>
      </c>
      <c r="Y211" s="16">
        <f>E211*'الافتراضات'!$B$8</f>
        <v/>
      </c>
      <c r="Z211" s="16">
        <f>E211/(1+'الافتراضات'!$B$6)</f>
        <v/>
      </c>
      <c r="AA211" s="16">
        <f>Z211-V211-W211-Q211-X211-Y211</f>
        <v/>
      </c>
      <c r="AB211" s="17">
        <f>IF(Z211=0,0,AA211/Z211)</f>
        <v/>
      </c>
      <c r="AC211" s="17">
        <f>IF(V211=0,0,AA211/V211)</f>
        <v/>
      </c>
      <c r="AD211" s="18">
        <f>R211*V211</f>
        <v/>
      </c>
      <c r="AE211" s="16">
        <f>IF(AB211&gt;='الافتراضات'!$B$9,IF(O211="لا","ابدأ به","جيد – يحتاج شهادة"),IF(AB211&gt;='الافتراضات'!$B$10,"مقبول","ضعيف"))</f>
        <v/>
      </c>
      <c r="AF211" s="16">
        <f>IF((1-'الافتراضات'!$B$9)/(1+'الافتراضات'!$B$6)-P211-'الافتراضات'!$B$7-'الافتراضات'!$B$8&lt;=0,0,(V211+Q211)/((1-'الافتراضات'!$B$9)/(1+'الافتراضات'!$B$6)-P211-'الافتراضات'!$B$7-'الافتراضات'!$B$8))</f>
        <v/>
      </c>
    </row>
    <row r="212">
      <c r="A212" s="10" t="n">
        <v>211</v>
      </c>
      <c r="B212" s="11" t="inlineStr">
        <is>
          <t>المنزل والمطبخ</t>
        </is>
      </c>
      <c r="C212" s="11" t="inlineStr">
        <is>
          <t>ميزان حرارة طبخ رقمي</t>
        </is>
      </c>
      <c r="D212" s="11" t="inlineStr">
        <is>
          <t>digital meat thermometer</t>
        </is>
      </c>
      <c r="E212" s="12" t="n">
        <v>25</v>
      </c>
      <c r="F212" s="10" t="inlineStr">
        <is>
          <t>تقدير</t>
        </is>
      </c>
      <c r="G212" s="10" t="inlineStr">
        <is>
          <t>تقدير</t>
        </is>
      </c>
      <c r="H212" s="10" t="inlineStr">
        <is>
          <t>لم تُفحص</t>
        </is>
      </c>
      <c r="I212" s="10" t="inlineStr">
        <is>
          <t>لم يُفحص</t>
        </is>
      </c>
      <c r="J212" s="13" t="n">
        <v>1.8</v>
      </c>
      <c r="K212" s="11" t="inlineStr">
        <is>
          <t>تقدير</t>
        </is>
      </c>
      <c r="L212" s="14" t="n">
        <v>0.1</v>
      </c>
      <c r="M212" s="10" t="inlineStr">
        <is>
          <t>صغير</t>
        </is>
      </c>
      <c r="N212" s="11" t="inlineStr">
        <is>
          <t>طوال السنة</t>
        </is>
      </c>
      <c r="O212" s="11" t="inlineStr">
        <is>
          <t>SABER + بطارية ليثيوم</t>
        </is>
      </c>
      <c r="P212" s="15" t="n">
        <v>0.14</v>
      </c>
      <c r="Q212" s="14" t="n">
        <v>6</v>
      </c>
      <c r="R212" s="14" t="n">
        <v>50</v>
      </c>
      <c r="S212" s="16">
        <f>J212*'الافتراضات'!$B$2*(1+'الافتراضات'!$B$3)</f>
        <v/>
      </c>
      <c r="T212" s="16">
        <f>L212*'الافتراضات'!$B$4</f>
        <v/>
      </c>
      <c r="U212" s="16">
        <f>(S212+T212)*'الافتراضات'!$B$5</f>
        <v/>
      </c>
      <c r="V212" s="16">
        <f>S212+T212+U212</f>
        <v/>
      </c>
      <c r="W212" s="16">
        <f>MAX(1,E212*P212)</f>
        <v/>
      </c>
      <c r="X212" s="16">
        <f>E212*'الافتراضات'!$B$7</f>
        <v/>
      </c>
      <c r="Y212" s="16">
        <f>E212*'الافتراضات'!$B$8</f>
        <v/>
      </c>
      <c r="Z212" s="16">
        <f>E212/(1+'الافتراضات'!$B$6)</f>
        <v/>
      </c>
      <c r="AA212" s="16">
        <f>Z212-V212-W212-Q212-X212-Y212</f>
        <v/>
      </c>
      <c r="AB212" s="17">
        <f>IF(Z212=0,0,AA212/Z212)</f>
        <v/>
      </c>
      <c r="AC212" s="17">
        <f>IF(V212=0,0,AA212/V212)</f>
        <v/>
      </c>
      <c r="AD212" s="18">
        <f>R212*V212</f>
        <v/>
      </c>
      <c r="AE212" s="16">
        <f>IF(AB212&gt;='الافتراضات'!$B$9,IF(O212="لا","ابدأ به","جيد – يحتاج شهادة"),IF(AB212&gt;='الافتراضات'!$B$10,"مقبول","ضعيف"))</f>
        <v/>
      </c>
      <c r="AF212" s="16">
        <f>IF((1-'الافتراضات'!$B$9)/(1+'الافتراضات'!$B$6)-P212-'الافتراضات'!$B$7-'الافتراضات'!$B$8&lt;=0,0,(V212+Q212)/((1-'الافتراضات'!$B$9)/(1+'الافتراضات'!$B$6)-P212-'الافتراضات'!$B$7-'الافتراضات'!$B$8))</f>
        <v/>
      </c>
    </row>
    <row r="213">
      <c r="A213" s="10" t="n">
        <v>212</v>
      </c>
      <c r="B213" s="11" t="inlineStr">
        <is>
          <t>الأمان المنزلي</t>
        </is>
      </c>
      <c r="C213" s="11" t="inlineStr">
        <is>
          <t>إنذار باب ونوافذ</t>
        </is>
      </c>
      <c r="D213" s="11" t="inlineStr">
        <is>
          <t>door window alarm sensor</t>
        </is>
      </c>
      <c r="E213" s="12" t="n">
        <v>25</v>
      </c>
      <c r="F213" s="10" t="inlineStr">
        <is>
          <t>تقدير</t>
        </is>
      </c>
      <c r="G213" s="10" t="inlineStr">
        <is>
          <t>تقدير</t>
        </is>
      </c>
      <c r="H213" s="10" t="inlineStr">
        <is>
          <t>لم تُفحص</t>
        </is>
      </c>
      <c r="I213" s="10" t="inlineStr">
        <is>
          <t>لم يُفحص</t>
        </is>
      </c>
      <c r="J213" s="13" t="n">
        <v>1.8</v>
      </c>
      <c r="K213" s="11" t="inlineStr">
        <is>
          <t>تقدير</t>
        </is>
      </c>
      <c r="L213" s="14" t="n">
        <v>0.1</v>
      </c>
      <c r="M213" s="10" t="inlineStr">
        <is>
          <t>صغير</t>
        </is>
      </c>
      <c r="N213" s="11" t="inlineStr">
        <is>
          <t>طوال السنة</t>
        </is>
      </c>
      <c r="O213" s="11" t="inlineStr">
        <is>
          <t>SABER + بطارية ليثيوم</t>
        </is>
      </c>
      <c r="P213" s="15" t="n">
        <v>0.14</v>
      </c>
      <c r="Q213" s="14" t="n">
        <v>6</v>
      </c>
      <c r="R213" s="14" t="n">
        <v>50</v>
      </c>
      <c r="S213" s="16">
        <f>J213*'الافتراضات'!$B$2*(1+'الافتراضات'!$B$3)</f>
        <v/>
      </c>
      <c r="T213" s="16">
        <f>L213*'الافتراضات'!$B$4</f>
        <v/>
      </c>
      <c r="U213" s="16">
        <f>(S213+T213)*'الافتراضات'!$B$5</f>
        <v/>
      </c>
      <c r="V213" s="16">
        <f>S213+T213+U213</f>
        <v/>
      </c>
      <c r="W213" s="16">
        <f>MAX(1,E213*P213)</f>
        <v/>
      </c>
      <c r="X213" s="16">
        <f>E213*'الافتراضات'!$B$7</f>
        <v/>
      </c>
      <c r="Y213" s="16">
        <f>E213*'الافتراضات'!$B$8</f>
        <v/>
      </c>
      <c r="Z213" s="16">
        <f>E213/(1+'الافتراضات'!$B$6)</f>
        <v/>
      </c>
      <c r="AA213" s="16">
        <f>Z213-V213-W213-Q213-X213-Y213</f>
        <v/>
      </c>
      <c r="AB213" s="17">
        <f>IF(Z213=0,0,AA213/Z213)</f>
        <v/>
      </c>
      <c r="AC213" s="17">
        <f>IF(V213=0,0,AA213/V213)</f>
        <v/>
      </c>
      <c r="AD213" s="18">
        <f>R213*V213</f>
        <v/>
      </c>
      <c r="AE213" s="16">
        <f>IF(AB213&gt;='الافتراضات'!$B$9,IF(O213="لا","ابدأ به","جيد – يحتاج شهادة"),IF(AB213&gt;='الافتراضات'!$B$10,"مقبول","ضعيف"))</f>
        <v/>
      </c>
      <c r="AF213" s="16">
        <f>IF((1-'الافتراضات'!$B$9)/(1+'الافتراضات'!$B$6)-P213-'الافتراضات'!$B$7-'الافتراضات'!$B$8&lt;=0,0,(V213+Q213)/((1-'الافتراضات'!$B$9)/(1+'الافتراضات'!$B$6)-P213-'الافتراضات'!$B$7-'الافتراضات'!$B$8))</f>
        <v/>
      </c>
    </row>
    <row r="214">
      <c r="A214" s="10" t="n">
        <v>213</v>
      </c>
      <c r="B214" s="11" t="inlineStr">
        <is>
          <t>السيارات والدراجات</t>
        </is>
      </c>
      <c r="C214" s="11" t="inlineStr">
        <is>
          <t>غطاء سيارة كامل مقاوم للشمس</t>
        </is>
      </c>
      <c r="D214" s="11" t="inlineStr">
        <is>
          <t>full car cover sunproof</t>
        </is>
      </c>
      <c r="E214" s="12" t="n">
        <v>113</v>
      </c>
      <c r="F214" s="10" t="inlineStr">
        <is>
          <t>تقدير</t>
        </is>
      </c>
      <c r="G214" s="10" t="inlineStr">
        <is>
          <t>تقدير</t>
        </is>
      </c>
      <c r="H214" s="10" t="inlineStr">
        <is>
          <t>لم تُفحص</t>
        </is>
      </c>
      <c r="I214" s="10" t="inlineStr">
        <is>
          <t>لم يُفحص</t>
        </is>
      </c>
      <c r="J214" s="13" t="n">
        <v>10</v>
      </c>
      <c r="K214" s="11" t="inlineStr">
        <is>
          <t>تقدير</t>
        </is>
      </c>
      <c r="L214" s="14" t="n">
        <v>1.5</v>
      </c>
      <c r="M214" s="10" t="inlineStr">
        <is>
          <t>كبير</t>
        </is>
      </c>
      <c r="N214" s="11" t="inlineStr">
        <is>
          <t>الصيف</t>
        </is>
      </c>
      <c r="O214" s="11" t="inlineStr">
        <is>
          <t>لا</t>
        </is>
      </c>
      <c r="P214" s="15" t="n">
        <v>0.1</v>
      </c>
      <c r="Q214" s="14" t="n">
        <v>15</v>
      </c>
      <c r="R214" s="14" t="n">
        <v>50</v>
      </c>
      <c r="S214" s="16">
        <f>J214*'الافتراضات'!$B$2*(1+'الافتراضات'!$B$3)</f>
        <v/>
      </c>
      <c r="T214" s="16">
        <f>L214*'الافتراضات'!$B$4</f>
        <v/>
      </c>
      <c r="U214" s="16">
        <f>(S214+T214)*'الافتراضات'!$B$5</f>
        <v/>
      </c>
      <c r="V214" s="16">
        <f>S214+T214+U214</f>
        <v/>
      </c>
      <c r="W214" s="16">
        <f>MAX(1,E214*P214)</f>
        <v/>
      </c>
      <c r="X214" s="16">
        <f>E214*'الافتراضات'!$B$7</f>
        <v/>
      </c>
      <c r="Y214" s="16">
        <f>E214*'الافتراضات'!$B$8</f>
        <v/>
      </c>
      <c r="Z214" s="16">
        <f>E214/(1+'الافتراضات'!$B$6)</f>
        <v/>
      </c>
      <c r="AA214" s="16">
        <f>Z214-V214-W214-Q214-X214-Y214</f>
        <v/>
      </c>
      <c r="AB214" s="17">
        <f>IF(Z214=0,0,AA214/Z214)</f>
        <v/>
      </c>
      <c r="AC214" s="17">
        <f>IF(V214=0,0,AA214/V214)</f>
        <v/>
      </c>
      <c r="AD214" s="18">
        <f>R214*V214</f>
        <v/>
      </c>
      <c r="AE214" s="16">
        <f>IF(AB214&gt;='الافتراضات'!$B$9,IF(O214="لا","ابدأ به","جيد – يحتاج شهادة"),IF(AB214&gt;='الافتراضات'!$B$10,"مقبول","ضعيف"))</f>
        <v/>
      </c>
      <c r="AF214" s="16">
        <f>IF((1-'الافتراضات'!$B$9)/(1+'الافتراضات'!$B$6)-P214-'الافتراضات'!$B$7-'الافتراضات'!$B$8&lt;=0,0,(V214+Q214)/((1-'الافتراضات'!$B$9)/(1+'الافتراضات'!$B$6)-P214-'الافتراضات'!$B$7-'الافتراضات'!$B$8))</f>
        <v/>
      </c>
    </row>
    <row r="215">
      <c r="A215" s="10" t="n">
        <v>214</v>
      </c>
      <c r="B215" s="11" t="inlineStr">
        <is>
          <t>التخييم والسفر</t>
        </is>
      </c>
      <c r="C215" s="11" t="inlineStr">
        <is>
          <t>قفل حقائب TSA</t>
        </is>
      </c>
      <c r="D215" s="11" t="inlineStr">
        <is>
          <t>TSA luggage lock</t>
        </is>
      </c>
      <c r="E215" s="12" t="n">
        <v>25</v>
      </c>
      <c r="F215" s="10" t="inlineStr">
        <is>
          <t>تقدير</t>
        </is>
      </c>
      <c r="G215" s="10" t="inlineStr">
        <is>
          <t>تقدير</t>
        </is>
      </c>
      <c r="H215" s="10" t="inlineStr">
        <is>
          <t>لم تُفحص</t>
        </is>
      </c>
      <c r="I215" s="10" t="inlineStr">
        <is>
          <t>لم يُفحص</t>
        </is>
      </c>
      <c r="J215" s="13" t="n">
        <v>1.2</v>
      </c>
      <c r="K215" s="11" t="inlineStr">
        <is>
          <t>تقدير</t>
        </is>
      </c>
      <c r="L215" s="14" t="n">
        <v>0.08</v>
      </c>
      <c r="M215" s="10" t="inlineStr">
        <is>
          <t>صغير</t>
        </is>
      </c>
      <c r="N215" s="11" t="inlineStr">
        <is>
          <t>طوال السنة</t>
        </is>
      </c>
      <c r="O215" s="11" t="inlineStr">
        <is>
          <t>لا</t>
        </is>
      </c>
      <c r="P215" s="15" t="n">
        <v>0.25</v>
      </c>
      <c r="Q215" s="14" t="n">
        <v>6</v>
      </c>
      <c r="R215" s="14" t="n">
        <v>50</v>
      </c>
      <c r="S215" s="16">
        <f>J215*'الافتراضات'!$B$2*(1+'الافتراضات'!$B$3)</f>
        <v/>
      </c>
      <c r="T215" s="16">
        <f>L215*'الافتراضات'!$B$4</f>
        <v/>
      </c>
      <c r="U215" s="16">
        <f>(S215+T215)*'الافتراضات'!$B$5</f>
        <v/>
      </c>
      <c r="V215" s="16">
        <f>S215+T215+U215</f>
        <v/>
      </c>
      <c r="W215" s="16">
        <f>MAX(1,E215*P215)</f>
        <v/>
      </c>
      <c r="X215" s="16">
        <f>E215*'الافتراضات'!$B$7</f>
        <v/>
      </c>
      <c r="Y215" s="16">
        <f>E215*'الافتراضات'!$B$8</f>
        <v/>
      </c>
      <c r="Z215" s="16">
        <f>E215/(1+'الافتراضات'!$B$6)</f>
        <v/>
      </c>
      <c r="AA215" s="16">
        <f>Z215-V215-W215-Q215-X215-Y215</f>
        <v/>
      </c>
      <c r="AB215" s="17">
        <f>IF(Z215=0,0,AA215/Z215)</f>
        <v/>
      </c>
      <c r="AC215" s="17">
        <f>IF(V215=0,0,AA215/V215)</f>
        <v/>
      </c>
      <c r="AD215" s="18">
        <f>R215*V215</f>
        <v/>
      </c>
      <c r="AE215" s="16">
        <f>IF(AB215&gt;='الافتراضات'!$B$9,IF(O215="لا","ابدأ به","جيد – يحتاج شهادة"),IF(AB215&gt;='الافتراضات'!$B$10,"مقبول","ضعيف"))</f>
        <v/>
      </c>
      <c r="AF215" s="16">
        <f>IF((1-'الافتراضات'!$B$9)/(1+'الافتراضات'!$B$6)-P215-'الافتراضات'!$B$7-'الافتراضات'!$B$8&lt;=0,0,(V215+Q215)/((1-'الافتراضات'!$B$9)/(1+'الافتراضات'!$B$6)-P215-'الافتراضات'!$B$7-'الافتراضات'!$B$8))</f>
        <v/>
      </c>
    </row>
    <row r="216">
      <c r="A216" s="10" t="n">
        <v>215</v>
      </c>
      <c r="B216" s="11" t="inlineStr">
        <is>
          <t>المنزل والمطبخ</t>
        </is>
      </c>
      <c r="C216" s="11" t="inlineStr">
        <is>
          <t>ماكينة خياطة صغيرة</t>
        </is>
      </c>
      <c r="D216" s="11" t="inlineStr">
        <is>
          <t>mini sewing machine</t>
        </is>
      </c>
      <c r="E216" s="12" t="n">
        <v>124</v>
      </c>
      <c r="F216" s="10" t="inlineStr">
        <is>
          <t>تقدير</t>
        </is>
      </c>
      <c r="G216" s="10" t="inlineStr">
        <is>
          <t>تقدير</t>
        </is>
      </c>
      <c r="H216" s="10" t="inlineStr">
        <is>
          <t>لم تُفحص</t>
        </is>
      </c>
      <c r="I216" s="10" t="inlineStr">
        <is>
          <t>لم يُفحص</t>
        </is>
      </c>
      <c r="J216" s="13" t="n">
        <v>11</v>
      </c>
      <c r="K216" s="11" t="inlineStr">
        <is>
          <t>تقدير</t>
        </is>
      </c>
      <c r="L216" s="14" t="n">
        <v>1.5</v>
      </c>
      <c r="M216" s="10" t="inlineStr">
        <is>
          <t>متوسط</t>
        </is>
      </c>
      <c r="N216" s="11" t="inlineStr">
        <is>
          <t>طوال السنة</t>
        </is>
      </c>
      <c r="O216" s="11" t="inlineStr">
        <is>
          <t>SABER</t>
        </is>
      </c>
      <c r="P216" s="15" t="n">
        <v>0.15</v>
      </c>
      <c r="Q216" s="14" t="n">
        <v>11.5</v>
      </c>
      <c r="R216" s="14" t="n">
        <v>50</v>
      </c>
      <c r="S216" s="16">
        <f>J216*'الافتراضات'!$B$2*(1+'الافتراضات'!$B$3)</f>
        <v/>
      </c>
      <c r="T216" s="16">
        <f>L216*'الافتراضات'!$B$4</f>
        <v/>
      </c>
      <c r="U216" s="16">
        <f>(S216+T216)*'الافتراضات'!$B$5</f>
        <v/>
      </c>
      <c r="V216" s="16">
        <f>S216+T216+U216</f>
        <v/>
      </c>
      <c r="W216" s="16">
        <f>MAX(1,E216*P216)</f>
        <v/>
      </c>
      <c r="X216" s="16">
        <f>E216*'الافتراضات'!$B$7</f>
        <v/>
      </c>
      <c r="Y216" s="16">
        <f>E216*'الافتراضات'!$B$8</f>
        <v/>
      </c>
      <c r="Z216" s="16">
        <f>E216/(1+'الافتراضات'!$B$6)</f>
        <v/>
      </c>
      <c r="AA216" s="16">
        <f>Z216-V216-W216-Q216-X216-Y216</f>
        <v/>
      </c>
      <c r="AB216" s="17">
        <f>IF(Z216=0,0,AA216/Z216)</f>
        <v/>
      </c>
      <c r="AC216" s="17">
        <f>IF(V216=0,0,AA216/V216)</f>
        <v/>
      </c>
      <c r="AD216" s="18">
        <f>R216*V216</f>
        <v/>
      </c>
      <c r="AE216" s="16">
        <f>IF(AB216&gt;='الافتراضات'!$B$9,IF(O216="لا","ابدأ به","جيد – يحتاج شهادة"),IF(AB216&gt;='الافتراضات'!$B$10,"مقبول","ضعيف"))</f>
        <v/>
      </c>
      <c r="AF216" s="16">
        <f>IF((1-'الافتراضات'!$B$9)/(1+'الافتراضات'!$B$6)-P216-'الافتراضات'!$B$7-'الافتراضات'!$B$8&lt;=0,0,(V216+Q216)/((1-'الافتراضات'!$B$9)/(1+'الافتراضات'!$B$6)-P216-'الافتراضات'!$B$7-'الافتراضات'!$B$8))</f>
        <v/>
      </c>
    </row>
    <row r="217">
      <c r="A217" s="10" t="n">
        <v>216</v>
      </c>
      <c r="B217" s="11" t="inlineStr">
        <is>
          <t>إكسسوارات الجوال والإلكترونيات</t>
        </is>
      </c>
      <c r="C217" s="11" t="inlineStr">
        <is>
          <t>جهاز فحص أخطاء السيارة OBD2</t>
        </is>
      </c>
      <c r="D217" s="11" t="inlineStr">
        <is>
          <t>OBD2 scanner bluetooth</t>
        </is>
      </c>
      <c r="E217" s="12" t="n">
        <v>40</v>
      </c>
      <c r="F217" s="10" t="inlineStr">
        <is>
          <t>تقدير</t>
        </is>
      </c>
      <c r="G217" s="10" t="inlineStr">
        <is>
          <t>تقدير</t>
        </is>
      </c>
      <c r="H217" s="10" t="inlineStr">
        <is>
          <t>لم تُفحص</t>
        </is>
      </c>
      <c r="I217" s="10" t="inlineStr">
        <is>
          <t>لم يُفحص</t>
        </is>
      </c>
      <c r="J217" s="13" t="n">
        <v>3.5</v>
      </c>
      <c r="K217" s="11" t="inlineStr">
        <is>
          <t>تقدير</t>
        </is>
      </c>
      <c r="L217" s="14" t="n">
        <v>0.06</v>
      </c>
      <c r="M217" s="10" t="inlineStr">
        <is>
          <t>صغير</t>
        </is>
      </c>
      <c r="N217" s="11" t="inlineStr">
        <is>
          <t>طوال السنة</t>
        </is>
      </c>
      <c r="O217" s="11" t="inlineStr">
        <is>
          <t>SABER + بطارية ليثيوم</t>
        </is>
      </c>
      <c r="P217" s="15" t="n">
        <v>0.14</v>
      </c>
      <c r="Q217" s="14" t="n">
        <v>8</v>
      </c>
      <c r="R217" s="14" t="n">
        <v>50</v>
      </c>
      <c r="S217" s="16">
        <f>J217*'الافتراضات'!$B$2*(1+'الافتراضات'!$B$3)</f>
        <v/>
      </c>
      <c r="T217" s="16">
        <f>L217*'الافتراضات'!$B$4</f>
        <v/>
      </c>
      <c r="U217" s="16">
        <f>(S217+T217)*'الافتراضات'!$B$5</f>
        <v/>
      </c>
      <c r="V217" s="16">
        <f>S217+T217+U217</f>
        <v/>
      </c>
      <c r="W217" s="16">
        <f>MAX(1,E217*P217)</f>
        <v/>
      </c>
      <c r="X217" s="16">
        <f>E217*'الافتراضات'!$B$7</f>
        <v/>
      </c>
      <c r="Y217" s="16">
        <f>E217*'الافتراضات'!$B$8</f>
        <v/>
      </c>
      <c r="Z217" s="16">
        <f>E217/(1+'الافتراضات'!$B$6)</f>
        <v/>
      </c>
      <c r="AA217" s="16">
        <f>Z217-V217-W217-Q217-X217-Y217</f>
        <v/>
      </c>
      <c r="AB217" s="17">
        <f>IF(Z217=0,0,AA217/Z217)</f>
        <v/>
      </c>
      <c r="AC217" s="17">
        <f>IF(V217=0,0,AA217/V217)</f>
        <v/>
      </c>
      <c r="AD217" s="18">
        <f>R217*V217</f>
        <v/>
      </c>
      <c r="AE217" s="16">
        <f>IF(AB217&gt;='الافتراضات'!$B$9,IF(O217="لا","ابدأ به","جيد – يحتاج شهادة"),IF(AB217&gt;='الافتراضات'!$B$10,"مقبول","ضعيف"))</f>
        <v/>
      </c>
      <c r="AF217" s="16">
        <f>IF((1-'الافتراضات'!$B$9)/(1+'الافتراضات'!$B$6)-P217-'الافتراضات'!$B$7-'الافتراضات'!$B$8&lt;=0,0,(V217+Q217)/((1-'الافتراضات'!$B$9)/(1+'الافتراضات'!$B$6)-P217-'الافتراضات'!$B$7-'الافتراضات'!$B$8))</f>
        <v/>
      </c>
    </row>
    <row r="218">
      <c r="A218" s="10" t="n">
        <v>217</v>
      </c>
      <c r="B218" s="11" t="inlineStr">
        <is>
          <t>المكتب والدراسة</t>
        </is>
      </c>
      <c r="C218" s="11" t="inlineStr">
        <is>
          <t>ملاحظات لاصقة ملونة 12 قطعة</t>
        </is>
      </c>
      <c r="D218" s="11" t="inlineStr">
        <is>
          <t>sticky notes pack colorful</t>
        </is>
      </c>
      <c r="E218" s="12" t="n">
        <v>25</v>
      </c>
      <c r="F218" s="10" t="inlineStr">
        <is>
          <t>تقدير</t>
        </is>
      </c>
      <c r="G218" s="10" t="inlineStr">
        <is>
          <t>تقدير</t>
        </is>
      </c>
      <c r="H218" s="10" t="inlineStr">
        <is>
          <t>لم تُفحص</t>
        </is>
      </c>
      <c r="I218" s="10" t="inlineStr">
        <is>
          <t>لم يُفحص</t>
        </is>
      </c>
      <c r="J218" s="13" t="n">
        <v>1.2</v>
      </c>
      <c r="K218" s="11" t="inlineStr">
        <is>
          <t>تقدير</t>
        </is>
      </c>
      <c r="L218" s="14" t="n">
        <v>0.3</v>
      </c>
      <c r="M218" s="10" t="inlineStr">
        <is>
          <t>صغير</t>
        </is>
      </c>
      <c r="N218" s="11" t="inlineStr">
        <is>
          <t>العودة للمدارس</t>
        </is>
      </c>
      <c r="O218" s="11" t="inlineStr">
        <is>
          <t>لا</t>
        </is>
      </c>
      <c r="P218" s="15" t="n">
        <v>0.12</v>
      </c>
      <c r="Q218" s="14" t="n">
        <v>7.5</v>
      </c>
      <c r="R218" s="14" t="n">
        <v>50</v>
      </c>
      <c r="S218" s="16">
        <f>J218*'الافتراضات'!$B$2*(1+'الافتراضات'!$B$3)</f>
        <v/>
      </c>
      <c r="T218" s="16">
        <f>L218*'الافتراضات'!$B$4</f>
        <v/>
      </c>
      <c r="U218" s="16">
        <f>(S218+T218)*'الافتراضات'!$B$5</f>
        <v/>
      </c>
      <c r="V218" s="16">
        <f>S218+T218+U218</f>
        <v/>
      </c>
      <c r="W218" s="16">
        <f>MAX(1,E218*P218)</f>
        <v/>
      </c>
      <c r="X218" s="16">
        <f>E218*'الافتراضات'!$B$7</f>
        <v/>
      </c>
      <c r="Y218" s="16">
        <f>E218*'الافتراضات'!$B$8</f>
        <v/>
      </c>
      <c r="Z218" s="16">
        <f>E218/(1+'الافتراضات'!$B$6)</f>
        <v/>
      </c>
      <c r="AA218" s="16">
        <f>Z218-V218-W218-Q218-X218-Y218</f>
        <v/>
      </c>
      <c r="AB218" s="17">
        <f>IF(Z218=0,0,AA218/Z218)</f>
        <v/>
      </c>
      <c r="AC218" s="17">
        <f>IF(V218=0,0,AA218/V218)</f>
        <v/>
      </c>
      <c r="AD218" s="18">
        <f>R218*V218</f>
        <v/>
      </c>
      <c r="AE218" s="16">
        <f>IF(AB218&gt;='الافتراضات'!$B$9,IF(O218="لا","ابدأ به","جيد – يحتاج شهادة"),IF(AB218&gt;='الافتراضات'!$B$10,"مقبول","ضعيف"))</f>
        <v/>
      </c>
      <c r="AF218" s="16">
        <f>IF((1-'الافتراضات'!$B$9)/(1+'الافتراضات'!$B$6)-P218-'الافتراضات'!$B$7-'الافتراضات'!$B$8&lt;=0,0,(V218+Q218)/((1-'الافتراضات'!$B$9)/(1+'الافتراضات'!$B$6)-P218-'الافتراضات'!$B$7-'الافتراضات'!$B$8))</f>
        <v/>
      </c>
    </row>
    <row r="219">
      <c r="A219" s="10" t="n">
        <v>218</v>
      </c>
      <c r="B219" s="11" t="inlineStr">
        <is>
          <t>الأدوات والصيانة</t>
        </is>
      </c>
      <c r="C219" s="11" t="inlineStr">
        <is>
          <t>سكين مهام</t>
        </is>
      </c>
      <c r="D219" s="11" t="inlineStr">
        <is>
          <t>utility knife set</t>
        </is>
      </c>
      <c r="E219" s="12" t="n">
        <v>25</v>
      </c>
      <c r="F219" s="10" t="inlineStr">
        <is>
          <t>تقدير</t>
        </is>
      </c>
      <c r="G219" s="10" t="inlineStr">
        <is>
          <t>تقدير</t>
        </is>
      </c>
      <c r="H219" s="10" t="inlineStr">
        <is>
          <t>لم تُفحص</t>
        </is>
      </c>
      <c r="I219" s="10" t="inlineStr">
        <is>
          <t>لم يُفحص</t>
        </is>
      </c>
      <c r="J219" s="13" t="n">
        <v>1.4</v>
      </c>
      <c r="K219" s="11" t="inlineStr">
        <is>
          <t>تقدير</t>
        </is>
      </c>
      <c r="L219" s="14" t="n">
        <v>0.2</v>
      </c>
      <c r="M219" s="10" t="inlineStr">
        <is>
          <t>صغير</t>
        </is>
      </c>
      <c r="N219" s="11" t="inlineStr">
        <is>
          <t>طوال السنة</t>
        </is>
      </c>
      <c r="O219" s="11" t="inlineStr">
        <is>
          <t>لا</t>
        </is>
      </c>
      <c r="P219" s="15" t="n">
        <v>0.14</v>
      </c>
      <c r="Q219" s="14" t="n">
        <v>7</v>
      </c>
      <c r="R219" s="14" t="n">
        <v>50</v>
      </c>
      <c r="S219" s="16">
        <f>J219*'الافتراضات'!$B$2*(1+'الافتراضات'!$B$3)</f>
        <v/>
      </c>
      <c r="T219" s="16">
        <f>L219*'الافتراضات'!$B$4</f>
        <v/>
      </c>
      <c r="U219" s="16">
        <f>(S219+T219)*'الافتراضات'!$B$5</f>
        <v/>
      </c>
      <c r="V219" s="16">
        <f>S219+T219+U219</f>
        <v/>
      </c>
      <c r="W219" s="16">
        <f>MAX(1,E219*P219)</f>
        <v/>
      </c>
      <c r="X219" s="16">
        <f>E219*'الافتراضات'!$B$7</f>
        <v/>
      </c>
      <c r="Y219" s="16">
        <f>E219*'الافتراضات'!$B$8</f>
        <v/>
      </c>
      <c r="Z219" s="16">
        <f>E219/(1+'الافتراضات'!$B$6)</f>
        <v/>
      </c>
      <c r="AA219" s="16">
        <f>Z219-V219-W219-Q219-X219-Y219</f>
        <v/>
      </c>
      <c r="AB219" s="17">
        <f>IF(Z219=0,0,AA219/Z219)</f>
        <v/>
      </c>
      <c r="AC219" s="17">
        <f>IF(V219=0,0,AA219/V219)</f>
        <v/>
      </c>
      <c r="AD219" s="18">
        <f>R219*V219</f>
        <v/>
      </c>
      <c r="AE219" s="16">
        <f>IF(AB219&gt;='الافتراضات'!$B$9,IF(O219="لا","ابدأ به","جيد – يحتاج شهادة"),IF(AB219&gt;='الافتراضات'!$B$10,"مقبول","ضعيف"))</f>
        <v/>
      </c>
      <c r="AF219" s="16">
        <f>IF((1-'الافتراضات'!$B$9)/(1+'الافتراضات'!$B$6)-P219-'الافتراضات'!$B$7-'الافتراضات'!$B$8&lt;=0,0,(V219+Q219)/((1-'الافتراضات'!$B$9)/(1+'الافتراضات'!$B$6)-P219-'الافتراضات'!$B$7-'الافتراضات'!$B$8))</f>
        <v/>
      </c>
    </row>
    <row r="220">
      <c r="A220" s="10" t="n">
        <v>219</v>
      </c>
      <c r="B220" s="11" t="inlineStr">
        <is>
          <t>رمضان والمناسبات</t>
        </is>
      </c>
      <c r="C220" s="11" t="inlineStr">
        <is>
          <t>بالونات حفلات 100 قطعة</t>
        </is>
      </c>
      <c r="D220" s="11" t="inlineStr">
        <is>
          <t>party balloons 100 pcs</t>
        </is>
      </c>
      <c r="E220" s="12" t="n">
        <v>25</v>
      </c>
      <c r="F220" s="10" t="inlineStr">
        <is>
          <t>تقدير</t>
        </is>
      </c>
      <c r="G220" s="10" t="inlineStr">
        <is>
          <t>تقدير</t>
        </is>
      </c>
      <c r="H220" s="10" t="inlineStr">
        <is>
          <t>لم تُفحص</t>
        </is>
      </c>
      <c r="I220" s="10" t="inlineStr">
        <is>
          <t>لم يُفحص</t>
        </is>
      </c>
      <c r="J220" s="13" t="n">
        <v>1.4</v>
      </c>
      <c r="K220" s="11" t="inlineStr">
        <is>
          <t>تقدير</t>
        </is>
      </c>
      <c r="L220" s="14" t="n">
        <v>0.2</v>
      </c>
      <c r="M220" s="10" t="inlineStr">
        <is>
          <t>صغير</t>
        </is>
      </c>
      <c r="N220" s="11" t="inlineStr">
        <is>
          <t>طوال السنة</t>
        </is>
      </c>
      <c r="O220" s="11" t="inlineStr">
        <is>
          <t>لا</t>
        </is>
      </c>
      <c r="P220" s="15" t="n">
        <v>0.14</v>
      </c>
      <c r="Q220" s="14" t="n">
        <v>7</v>
      </c>
      <c r="R220" s="14" t="n">
        <v>50</v>
      </c>
      <c r="S220" s="16">
        <f>J220*'الافتراضات'!$B$2*(1+'الافتراضات'!$B$3)</f>
        <v/>
      </c>
      <c r="T220" s="16">
        <f>L220*'الافتراضات'!$B$4</f>
        <v/>
      </c>
      <c r="U220" s="16">
        <f>(S220+T220)*'الافتراضات'!$B$5</f>
        <v/>
      </c>
      <c r="V220" s="16">
        <f>S220+T220+U220</f>
        <v/>
      </c>
      <c r="W220" s="16">
        <f>MAX(1,E220*P220)</f>
        <v/>
      </c>
      <c r="X220" s="16">
        <f>E220*'الافتراضات'!$B$7</f>
        <v/>
      </c>
      <c r="Y220" s="16">
        <f>E220*'الافتراضات'!$B$8</f>
        <v/>
      </c>
      <c r="Z220" s="16">
        <f>E220/(1+'الافتراضات'!$B$6)</f>
        <v/>
      </c>
      <c r="AA220" s="16">
        <f>Z220-V220-W220-Q220-X220-Y220</f>
        <v/>
      </c>
      <c r="AB220" s="17">
        <f>IF(Z220=0,0,AA220/Z220)</f>
        <v/>
      </c>
      <c r="AC220" s="17">
        <f>IF(V220=0,0,AA220/V220)</f>
        <v/>
      </c>
      <c r="AD220" s="18">
        <f>R220*V220</f>
        <v/>
      </c>
      <c r="AE220" s="16">
        <f>IF(AB220&gt;='الافتراضات'!$B$9,IF(O220="لا","ابدأ به","جيد – يحتاج شهادة"),IF(AB220&gt;='الافتراضات'!$B$10,"مقبول","ضعيف"))</f>
        <v/>
      </c>
      <c r="AF220" s="16">
        <f>IF((1-'الافتراضات'!$B$9)/(1+'الافتراضات'!$B$6)-P220-'الافتراضات'!$B$7-'الافتراضات'!$B$8&lt;=0,0,(V220+Q220)/((1-'الافتراضات'!$B$9)/(1+'الافتراضات'!$B$6)-P220-'الافتراضات'!$B$7-'الافتراضات'!$B$8))</f>
        <v/>
      </c>
    </row>
    <row r="221">
      <c r="A221" s="10" t="n">
        <v>220</v>
      </c>
      <c r="B221" s="11" t="inlineStr">
        <is>
          <t>المنزل والمطبخ</t>
        </is>
      </c>
      <c r="C221" s="11" t="inlineStr">
        <is>
          <t>مكواة بخار يدوية للسفر</t>
        </is>
      </c>
      <c r="D221" s="11" t="inlineStr">
        <is>
          <t>handheld garment steamer</t>
        </is>
      </c>
      <c r="E221" s="12" t="n">
        <v>91</v>
      </c>
      <c r="F221" s="10" t="inlineStr">
        <is>
          <t>تقدير</t>
        </is>
      </c>
      <c r="G221" s="10" t="inlineStr">
        <is>
          <t>تقدير</t>
        </is>
      </c>
      <c r="H221" s="10" t="inlineStr">
        <is>
          <t>لم تُفحص</t>
        </is>
      </c>
      <c r="I221" s="10" t="inlineStr">
        <is>
          <t>لم يُفحص</t>
        </is>
      </c>
      <c r="J221" s="13" t="n">
        <v>8</v>
      </c>
      <c r="K221" s="11" t="inlineStr">
        <is>
          <t>تقدير</t>
        </is>
      </c>
      <c r="L221" s="14" t="n">
        <v>1</v>
      </c>
      <c r="M221" s="10" t="inlineStr">
        <is>
          <t>متوسط</t>
        </is>
      </c>
      <c r="N221" s="11" t="inlineStr">
        <is>
          <t>طوال السنة</t>
        </is>
      </c>
      <c r="O221" s="11" t="inlineStr">
        <is>
          <t>SABER</t>
        </is>
      </c>
      <c r="P221" s="15" t="n">
        <v>0.15</v>
      </c>
      <c r="Q221" s="14" t="n">
        <v>10</v>
      </c>
      <c r="R221" s="14" t="n">
        <v>50</v>
      </c>
      <c r="S221" s="16">
        <f>J221*'الافتراضات'!$B$2*(1+'الافتراضات'!$B$3)</f>
        <v/>
      </c>
      <c r="T221" s="16">
        <f>L221*'الافتراضات'!$B$4</f>
        <v/>
      </c>
      <c r="U221" s="16">
        <f>(S221+T221)*'الافتراضات'!$B$5</f>
        <v/>
      </c>
      <c r="V221" s="16">
        <f>S221+T221+U221</f>
        <v/>
      </c>
      <c r="W221" s="16">
        <f>MAX(1,E221*P221)</f>
        <v/>
      </c>
      <c r="X221" s="16">
        <f>E221*'الافتراضات'!$B$7</f>
        <v/>
      </c>
      <c r="Y221" s="16">
        <f>E221*'الافتراضات'!$B$8</f>
        <v/>
      </c>
      <c r="Z221" s="16">
        <f>E221/(1+'الافتراضات'!$B$6)</f>
        <v/>
      </c>
      <c r="AA221" s="16">
        <f>Z221-V221-W221-Q221-X221-Y221</f>
        <v/>
      </c>
      <c r="AB221" s="17">
        <f>IF(Z221=0,0,AA221/Z221)</f>
        <v/>
      </c>
      <c r="AC221" s="17">
        <f>IF(V221=0,0,AA221/V221)</f>
        <v/>
      </c>
      <c r="AD221" s="18">
        <f>R221*V221</f>
        <v/>
      </c>
      <c r="AE221" s="16">
        <f>IF(AB221&gt;='الافتراضات'!$B$9,IF(O221="لا","ابدأ به","جيد – يحتاج شهادة"),IF(AB221&gt;='الافتراضات'!$B$10,"مقبول","ضعيف"))</f>
        <v/>
      </c>
      <c r="AF221" s="16">
        <f>IF((1-'الافتراضات'!$B$9)/(1+'الافتراضات'!$B$6)-P221-'الافتراضات'!$B$7-'الافتراضات'!$B$8&lt;=0,0,(V221+Q221)/((1-'الافتراضات'!$B$9)/(1+'الافتراضات'!$B$6)-P221-'الافتراضات'!$B$7-'الافتراضات'!$B$8))</f>
        <v/>
      </c>
    </row>
    <row r="222">
      <c r="A222" s="10" t="n">
        <v>221</v>
      </c>
      <c r="B222" s="11" t="inlineStr">
        <is>
          <t>إكسسوارات الجوال والإلكترونيات</t>
        </is>
      </c>
      <c r="C222" s="11" t="inlineStr">
        <is>
          <t>كشاف طاولة مع شاحن لاسلكي</t>
        </is>
      </c>
      <c r="D222" s="11" t="inlineStr">
        <is>
          <t>desk lamp wireless charger</t>
        </is>
      </c>
      <c r="E222" s="12" t="n">
        <v>79</v>
      </c>
      <c r="F222" s="10" t="inlineStr">
        <is>
          <t>تقدير</t>
        </is>
      </c>
      <c r="G222" s="10" t="inlineStr">
        <is>
          <t>تقدير</t>
        </is>
      </c>
      <c r="H222" s="10" t="inlineStr">
        <is>
          <t>لم تُفحص</t>
        </is>
      </c>
      <c r="I222" s="10" t="inlineStr">
        <is>
          <t>لم يُفحص</t>
        </is>
      </c>
      <c r="J222" s="13" t="n">
        <v>7</v>
      </c>
      <c r="K222" s="11" t="inlineStr">
        <is>
          <t>تقدير</t>
        </is>
      </c>
      <c r="L222" s="14" t="n">
        <v>0.7</v>
      </c>
      <c r="M222" s="10" t="inlineStr">
        <is>
          <t>متوسط</t>
        </is>
      </c>
      <c r="N222" s="11" t="inlineStr">
        <is>
          <t>طوال السنة</t>
        </is>
      </c>
      <c r="O222" s="11" t="inlineStr">
        <is>
          <t>SABER + بطارية ليثيوم</t>
        </is>
      </c>
      <c r="P222" s="15" t="n">
        <v>0.15</v>
      </c>
      <c r="Q222" s="14" t="n">
        <v>10</v>
      </c>
      <c r="R222" s="14" t="n">
        <v>50</v>
      </c>
      <c r="S222" s="16">
        <f>J222*'الافتراضات'!$B$2*(1+'الافتراضات'!$B$3)</f>
        <v/>
      </c>
      <c r="T222" s="16">
        <f>L222*'الافتراضات'!$B$4</f>
        <v/>
      </c>
      <c r="U222" s="16">
        <f>(S222+T222)*'الافتراضات'!$B$5</f>
        <v/>
      </c>
      <c r="V222" s="16">
        <f>S222+T222+U222</f>
        <v/>
      </c>
      <c r="W222" s="16">
        <f>MAX(1,E222*P222)</f>
        <v/>
      </c>
      <c r="X222" s="16">
        <f>E222*'الافتراضات'!$B$7</f>
        <v/>
      </c>
      <c r="Y222" s="16">
        <f>E222*'الافتراضات'!$B$8</f>
        <v/>
      </c>
      <c r="Z222" s="16">
        <f>E222/(1+'الافتراضات'!$B$6)</f>
        <v/>
      </c>
      <c r="AA222" s="16">
        <f>Z222-V222-W222-Q222-X222-Y222</f>
        <v/>
      </c>
      <c r="AB222" s="17">
        <f>IF(Z222=0,0,AA222/Z222)</f>
        <v/>
      </c>
      <c r="AC222" s="17">
        <f>IF(V222=0,0,AA222/V222)</f>
        <v/>
      </c>
      <c r="AD222" s="18">
        <f>R222*V222</f>
        <v/>
      </c>
      <c r="AE222" s="16">
        <f>IF(AB222&gt;='الافتراضات'!$B$9,IF(O222="لا","ابدأ به","جيد – يحتاج شهادة"),IF(AB222&gt;='الافتراضات'!$B$10,"مقبول","ضعيف"))</f>
        <v/>
      </c>
      <c r="AF222" s="16">
        <f>IF((1-'الافتراضات'!$B$9)/(1+'الافتراضات'!$B$6)-P222-'الافتراضات'!$B$7-'الافتراضات'!$B$8&lt;=0,0,(V222+Q222)/((1-'الافتراضات'!$B$9)/(1+'الافتراضات'!$B$6)-P222-'الافتراضات'!$B$7-'الافتراضات'!$B$8))</f>
        <v/>
      </c>
    </row>
    <row r="223">
      <c r="A223" s="10" t="n">
        <v>222</v>
      </c>
      <c r="B223" s="11" t="inlineStr">
        <is>
          <t>الأطفال والألعاب</t>
        </is>
      </c>
      <c r="C223" s="11" t="inlineStr">
        <is>
          <t>سيارة تحكم عن بعد</t>
        </is>
      </c>
      <c r="D223" s="11" t="inlineStr">
        <is>
          <t>remote control car toy</t>
        </is>
      </c>
      <c r="E223" s="12" t="n">
        <v>79</v>
      </c>
      <c r="F223" s="10" t="inlineStr">
        <is>
          <t>تقدير</t>
        </is>
      </c>
      <c r="G223" s="10" t="inlineStr">
        <is>
          <t>تقدير</t>
        </is>
      </c>
      <c r="H223" s="10" t="inlineStr">
        <is>
          <t>لم تُفحص</t>
        </is>
      </c>
      <c r="I223" s="10" t="inlineStr">
        <is>
          <t>لم يُفحص</t>
        </is>
      </c>
      <c r="J223" s="13" t="n">
        <v>7</v>
      </c>
      <c r="K223" s="11" t="inlineStr">
        <is>
          <t>تقدير</t>
        </is>
      </c>
      <c r="L223" s="14" t="n">
        <v>0.8</v>
      </c>
      <c r="M223" s="10" t="inlineStr">
        <is>
          <t>متوسط</t>
        </is>
      </c>
      <c r="N223" s="11" t="inlineStr">
        <is>
          <t>طوال السنة</t>
        </is>
      </c>
      <c r="O223" s="11" t="inlineStr">
        <is>
          <t>SABER + بطارية ليثيوم</t>
        </is>
      </c>
      <c r="P223" s="15" t="n">
        <v>0.14</v>
      </c>
      <c r="Q223" s="14" t="n">
        <v>10</v>
      </c>
      <c r="R223" s="14" t="n">
        <v>50</v>
      </c>
      <c r="S223" s="16">
        <f>J223*'الافتراضات'!$B$2*(1+'الافتراضات'!$B$3)</f>
        <v/>
      </c>
      <c r="T223" s="16">
        <f>L223*'الافتراضات'!$B$4</f>
        <v/>
      </c>
      <c r="U223" s="16">
        <f>(S223+T223)*'الافتراضات'!$B$5</f>
        <v/>
      </c>
      <c r="V223" s="16">
        <f>S223+T223+U223</f>
        <v/>
      </c>
      <c r="W223" s="16">
        <f>MAX(1,E223*P223)</f>
        <v/>
      </c>
      <c r="X223" s="16">
        <f>E223*'الافتراضات'!$B$7</f>
        <v/>
      </c>
      <c r="Y223" s="16">
        <f>E223*'الافتراضات'!$B$8</f>
        <v/>
      </c>
      <c r="Z223" s="16">
        <f>E223/(1+'الافتراضات'!$B$6)</f>
        <v/>
      </c>
      <c r="AA223" s="16">
        <f>Z223-V223-W223-Q223-X223-Y223</f>
        <v/>
      </c>
      <c r="AB223" s="17">
        <f>IF(Z223=0,0,AA223/Z223)</f>
        <v/>
      </c>
      <c r="AC223" s="17">
        <f>IF(V223=0,0,AA223/V223)</f>
        <v/>
      </c>
      <c r="AD223" s="18">
        <f>R223*V223</f>
        <v/>
      </c>
      <c r="AE223" s="16">
        <f>IF(AB223&gt;='الافتراضات'!$B$9,IF(O223="لا","ابدأ به","جيد – يحتاج شهادة"),IF(AB223&gt;='الافتراضات'!$B$10,"مقبول","ضعيف"))</f>
        <v/>
      </c>
      <c r="AF223" s="16">
        <f>IF((1-'الافتراضات'!$B$9)/(1+'الافتراضات'!$B$6)-P223-'الافتراضات'!$B$7-'الافتراضات'!$B$8&lt;=0,0,(V223+Q223)/((1-'الافتراضات'!$B$9)/(1+'الافتراضات'!$B$6)-P223-'الافتراضات'!$B$7-'الافتراضات'!$B$8))</f>
        <v/>
      </c>
    </row>
    <row r="224">
      <c r="A224" s="10" t="n">
        <v>223</v>
      </c>
      <c r="B224" s="11" t="inlineStr">
        <is>
          <t>الرياضة واللياقة</t>
        </is>
      </c>
      <c r="C224" s="11" t="inlineStr">
        <is>
          <t>ربطات معصم للرياضة</t>
        </is>
      </c>
      <c r="D224" s="11" t="inlineStr">
        <is>
          <t>wrist wraps lifting</t>
        </is>
      </c>
      <c r="E224" s="12" t="n">
        <v>25</v>
      </c>
      <c r="F224" s="10" t="inlineStr">
        <is>
          <t>تقدير</t>
        </is>
      </c>
      <c r="G224" s="10" t="inlineStr">
        <is>
          <t>تقدير</t>
        </is>
      </c>
      <c r="H224" s="10" t="inlineStr">
        <is>
          <t>لم تُفحص</t>
        </is>
      </c>
      <c r="I224" s="10" t="inlineStr">
        <is>
          <t>لم يُفحص</t>
        </is>
      </c>
      <c r="J224" s="13" t="n">
        <v>1.5</v>
      </c>
      <c r="K224" s="11" t="inlineStr">
        <is>
          <t>تقدير</t>
        </is>
      </c>
      <c r="L224" s="14" t="n">
        <v>0.1</v>
      </c>
      <c r="M224" s="10" t="inlineStr">
        <is>
          <t>صغير</t>
        </is>
      </c>
      <c r="N224" s="11" t="inlineStr">
        <is>
          <t>طوال السنة</t>
        </is>
      </c>
      <c r="O224" s="11" t="inlineStr">
        <is>
          <t>لا</t>
        </is>
      </c>
      <c r="P224" s="15" t="n">
        <v>0.2</v>
      </c>
      <c r="Q224" s="14" t="n">
        <v>6</v>
      </c>
      <c r="R224" s="14" t="n">
        <v>50</v>
      </c>
      <c r="S224" s="16">
        <f>J224*'الافتراضات'!$B$2*(1+'الافتراضات'!$B$3)</f>
        <v/>
      </c>
      <c r="T224" s="16">
        <f>L224*'الافتراضات'!$B$4</f>
        <v/>
      </c>
      <c r="U224" s="16">
        <f>(S224+T224)*'الافتراضات'!$B$5</f>
        <v/>
      </c>
      <c r="V224" s="16">
        <f>S224+T224+U224</f>
        <v/>
      </c>
      <c r="W224" s="16">
        <f>MAX(1,E224*P224)</f>
        <v/>
      </c>
      <c r="X224" s="16">
        <f>E224*'الافتراضات'!$B$7</f>
        <v/>
      </c>
      <c r="Y224" s="16">
        <f>E224*'الافتراضات'!$B$8</f>
        <v/>
      </c>
      <c r="Z224" s="16">
        <f>E224/(1+'الافتراضات'!$B$6)</f>
        <v/>
      </c>
      <c r="AA224" s="16">
        <f>Z224-V224-W224-Q224-X224-Y224</f>
        <v/>
      </c>
      <c r="AB224" s="17">
        <f>IF(Z224=0,0,AA224/Z224)</f>
        <v/>
      </c>
      <c r="AC224" s="17">
        <f>IF(V224=0,0,AA224/V224)</f>
        <v/>
      </c>
      <c r="AD224" s="18">
        <f>R224*V224</f>
        <v/>
      </c>
      <c r="AE224" s="16">
        <f>IF(AB224&gt;='الافتراضات'!$B$9,IF(O224="لا","ابدأ به","جيد – يحتاج شهادة"),IF(AB224&gt;='الافتراضات'!$B$10,"مقبول","ضعيف"))</f>
        <v/>
      </c>
      <c r="AF224" s="16">
        <f>IF((1-'الافتراضات'!$B$9)/(1+'الافتراضات'!$B$6)-P224-'الافتراضات'!$B$7-'الافتراضات'!$B$8&lt;=0,0,(V224+Q224)/((1-'الافتراضات'!$B$9)/(1+'الافتراضات'!$B$6)-P224-'الافتراضات'!$B$7-'الافتراضات'!$B$8))</f>
        <v/>
      </c>
    </row>
    <row r="225">
      <c r="A225" s="10" t="n">
        <v>224</v>
      </c>
      <c r="B225" s="11" t="inlineStr">
        <is>
          <t>الحديقة والخارج</t>
        </is>
      </c>
      <c r="C225" s="11" t="inlineStr">
        <is>
          <t>حوض زراعة منزلي</t>
        </is>
      </c>
      <c r="D225" s="11" t="inlineStr">
        <is>
          <t>indoor herb garden kit</t>
        </is>
      </c>
      <c r="E225" s="12" t="n">
        <v>113</v>
      </c>
      <c r="F225" s="10" t="inlineStr">
        <is>
          <t>تقدير</t>
        </is>
      </c>
      <c r="G225" s="10" t="inlineStr">
        <is>
          <t>تقدير</t>
        </is>
      </c>
      <c r="H225" s="10" t="inlineStr">
        <is>
          <t>لم تُفحص</t>
        </is>
      </c>
      <c r="I225" s="10" t="inlineStr">
        <is>
          <t>لم يُفحص</t>
        </is>
      </c>
      <c r="J225" s="13" t="n">
        <v>10</v>
      </c>
      <c r="K225" s="11" t="inlineStr">
        <is>
          <t>تقدير</t>
        </is>
      </c>
      <c r="L225" s="14" t="n">
        <v>1.5</v>
      </c>
      <c r="M225" s="10" t="inlineStr">
        <is>
          <t>متوسط</t>
        </is>
      </c>
      <c r="N225" s="11" t="inlineStr">
        <is>
          <t>طوال السنة</t>
        </is>
      </c>
      <c r="O225" s="11" t="inlineStr">
        <is>
          <t>SABER</t>
        </is>
      </c>
      <c r="P225" s="15" t="n">
        <v>0.14</v>
      </c>
      <c r="Q225" s="14" t="n">
        <v>11.5</v>
      </c>
      <c r="R225" s="14" t="n">
        <v>50</v>
      </c>
      <c r="S225" s="16">
        <f>J225*'الافتراضات'!$B$2*(1+'الافتراضات'!$B$3)</f>
        <v/>
      </c>
      <c r="T225" s="16">
        <f>L225*'الافتراضات'!$B$4</f>
        <v/>
      </c>
      <c r="U225" s="16">
        <f>(S225+T225)*'الافتراضات'!$B$5</f>
        <v/>
      </c>
      <c r="V225" s="16">
        <f>S225+T225+U225</f>
        <v/>
      </c>
      <c r="W225" s="16">
        <f>MAX(1,E225*P225)</f>
        <v/>
      </c>
      <c r="X225" s="16">
        <f>E225*'الافتراضات'!$B$7</f>
        <v/>
      </c>
      <c r="Y225" s="16">
        <f>E225*'الافتراضات'!$B$8</f>
        <v/>
      </c>
      <c r="Z225" s="16">
        <f>E225/(1+'الافتراضات'!$B$6)</f>
        <v/>
      </c>
      <c r="AA225" s="16">
        <f>Z225-V225-W225-Q225-X225-Y225</f>
        <v/>
      </c>
      <c r="AB225" s="17">
        <f>IF(Z225=0,0,AA225/Z225)</f>
        <v/>
      </c>
      <c r="AC225" s="17">
        <f>IF(V225=0,0,AA225/V225)</f>
        <v/>
      </c>
      <c r="AD225" s="18">
        <f>R225*V225</f>
        <v/>
      </c>
      <c r="AE225" s="16">
        <f>IF(AB225&gt;='الافتراضات'!$B$9,IF(O225="لا","ابدأ به","جيد – يحتاج شهادة"),IF(AB225&gt;='الافتراضات'!$B$10,"مقبول","ضعيف"))</f>
        <v/>
      </c>
      <c r="AF225" s="16">
        <f>IF((1-'الافتراضات'!$B$9)/(1+'الافتراضات'!$B$6)-P225-'الافتراضات'!$B$7-'الافتراضات'!$B$8&lt;=0,0,(V225+Q225)/((1-'الافتراضات'!$B$9)/(1+'الافتراضات'!$B$6)-P225-'الافتراضات'!$B$7-'الافتراضات'!$B$8))</f>
        <v/>
      </c>
    </row>
    <row r="226">
      <c r="A226" s="10" t="n">
        <v>225</v>
      </c>
      <c r="B226" s="11" t="inlineStr">
        <is>
          <t>المنزل والمطبخ</t>
        </is>
      </c>
      <c r="C226" s="11" t="inlineStr">
        <is>
          <t>مقلاة هوائية رقمية 4 لتر</t>
        </is>
      </c>
      <c r="D226" s="11" t="inlineStr">
        <is>
          <t>air fryer 4L digital</t>
        </is>
      </c>
      <c r="E226" s="12" t="n">
        <v>272</v>
      </c>
      <c r="F226" s="10" t="inlineStr">
        <is>
          <t>تقدير</t>
        </is>
      </c>
      <c r="G226" s="10" t="inlineStr">
        <is>
          <t>تقدير</t>
        </is>
      </c>
      <c r="H226" s="10" t="inlineStr">
        <is>
          <t>لم تُفحص</t>
        </is>
      </c>
      <c r="I226" s="10" t="inlineStr">
        <is>
          <t>لم يُفحص</t>
        </is>
      </c>
      <c r="J226" s="13" t="n">
        <v>24</v>
      </c>
      <c r="K226" s="11" t="inlineStr">
        <is>
          <t>تقدير</t>
        </is>
      </c>
      <c r="L226" s="14" t="n">
        <v>4.5</v>
      </c>
      <c r="M226" s="10" t="inlineStr">
        <is>
          <t>كبير</t>
        </is>
      </c>
      <c r="N226" s="11" t="inlineStr">
        <is>
          <t>طوال السنة</t>
        </is>
      </c>
      <c r="O226" s="11" t="inlineStr">
        <is>
          <t>SABER</t>
        </is>
      </c>
      <c r="P226" s="15" t="n">
        <v>0.15</v>
      </c>
      <c r="Q226" s="14" t="n">
        <v>18</v>
      </c>
      <c r="R226" s="14" t="n">
        <v>50</v>
      </c>
      <c r="S226" s="16">
        <f>J226*'الافتراضات'!$B$2*(1+'الافتراضات'!$B$3)</f>
        <v/>
      </c>
      <c r="T226" s="16">
        <f>L226*'الافتراضات'!$B$4</f>
        <v/>
      </c>
      <c r="U226" s="16">
        <f>(S226+T226)*'الافتراضات'!$B$5</f>
        <v/>
      </c>
      <c r="V226" s="16">
        <f>S226+T226+U226</f>
        <v/>
      </c>
      <c r="W226" s="16">
        <f>MAX(1,E226*P226)</f>
        <v/>
      </c>
      <c r="X226" s="16">
        <f>E226*'الافتراضات'!$B$7</f>
        <v/>
      </c>
      <c r="Y226" s="16">
        <f>E226*'الافتراضات'!$B$8</f>
        <v/>
      </c>
      <c r="Z226" s="16">
        <f>E226/(1+'الافتراضات'!$B$6)</f>
        <v/>
      </c>
      <c r="AA226" s="16">
        <f>Z226-V226-W226-Q226-X226-Y226</f>
        <v/>
      </c>
      <c r="AB226" s="17">
        <f>IF(Z226=0,0,AA226/Z226)</f>
        <v/>
      </c>
      <c r="AC226" s="17">
        <f>IF(V226=0,0,AA226/V226)</f>
        <v/>
      </c>
      <c r="AD226" s="18">
        <f>R226*V226</f>
        <v/>
      </c>
      <c r="AE226" s="16">
        <f>IF(AB226&gt;='الافتراضات'!$B$9,IF(O226="لا","ابدأ به","جيد – يحتاج شهادة"),IF(AB226&gt;='الافتراضات'!$B$10,"مقبول","ضعيف"))</f>
        <v/>
      </c>
      <c r="AF226" s="16">
        <f>IF((1-'الافتراضات'!$B$9)/(1+'الافتراضات'!$B$6)-P226-'الافتراضات'!$B$7-'الافتراضات'!$B$8&lt;=0,0,(V226+Q226)/((1-'الافتراضات'!$B$9)/(1+'الافتراضات'!$B$6)-P226-'الافتراضات'!$B$7-'الافتراضات'!$B$8))</f>
        <v/>
      </c>
    </row>
    <row r="227">
      <c r="A227" s="10" t="n">
        <v>226</v>
      </c>
      <c r="B227" s="11" t="inlineStr">
        <is>
          <t>المنزل والمطبخ</t>
        </is>
      </c>
      <c r="C227" s="11" t="inlineStr">
        <is>
          <t>قدر ضغط كهربائي صغير</t>
        </is>
      </c>
      <c r="D227" s="11" t="inlineStr">
        <is>
          <t>electric pressure cooker 3L</t>
        </is>
      </c>
      <c r="E227" s="12" t="n">
        <v>226</v>
      </c>
      <c r="F227" s="10" t="inlineStr">
        <is>
          <t>تقدير</t>
        </is>
      </c>
      <c r="G227" s="10" t="inlineStr">
        <is>
          <t>تقدير</t>
        </is>
      </c>
      <c r="H227" s="10" t="inlineStr">
        <is>
          <t>لم تُفحص</t>
        </is>
      </c>
      <c r="I227" s="10" t="inlineStr">
        <is>
          <t>لم يُفحص</t>
        </is>
      </c>
      <c r="J227" s="13" t="n">
        <v>20</v>
      </c>
      <c r="K227" s="11" t="inlineStr">
        <is>
          <t>تقدير</t>
        </is>
      </c>
      <c r="L227" s="14" t="n">
        <v>3.5</v>
      </c>
      <c r="M227" s="10" t="inlineStr">
        <is>
          <t>كبير</t>
        </is>
      </c>
      <c r="N227" s="11" t="inlineStr">
        <is>
          <t>طوال السنة</t>
        </is>
      </c>
      <c r="O227" s="11" t="inlineStr">
        <is>
          <t>SABER</t>
        </is>
      </c>
      <c r="P227" s="15" t="n">
        <v>0.15</v>
      </c>
      <c r="Q227" s="14" t="n">
        <v>17</v>
      </c>
      <c r="R227" s="14" t="n">
        <v>50</v>
      </c>
      <c r="S227" s="16">
        <f>J227*'الافتراضات'!$B$2*(1+'الافتراضات'!$B$3)</f>
        <v/>
      </c>
      <c r="T227" s="16">
        <f>L227*'الافتراضات'!$B$4</f>
        <v/>
      </c>
      <c r="U227" s="16">
        <f>(S227+T227)*'الافتراضات'!$B$5</f>
        <v/>
      </c>
      <c r="V227" s="16">
        <f>S227+T227+U227</f>
        <v/>
      </c>
      <c r="W227" s="16">
        <f>MAX(1,E227*P227)</f>
        <v/>
      </c>
      <c r="X227" s="16">
        <f>E227*'الافتراضات'!$B$7</f>
        <v/>
      </c>
      <c r="Y227" s="16">
        <f>E227*'الافتراضات'!$B$8</f>
        <v/>
      </c>
      <c r="Z227" s="16">
        <f>E227/(1+'الافتراضات'!$B$6)</f>
        <v/>
      </c>
      <c r="AA227" s="16">
        <f>Z227-V227-W227-Q227-X227-Y227</f>
        <v/>
      </c>
      <c r="AB227" s="17">
        <f>IF(Z227=0,0,AA227/Z227)</f>
        <v/>
      </c>
      <c r="AC227" s="17">
        <f>IF(V227=0,0,AA227/V227)</f>
        <v/>
      </c>
      <c r="AD227" s="18">
        <f>R227*V227</f>
        <v/>
      </c>
      <c r="AE227" s="16">
        <f>IF(AB227&gt;='الافتراضات'!$B$9,IF(O227="لا","ابدأ به","جيد – يحتاج شهادة"),IF(AB227&gt;='الافتراضات'!$B$10,"مقبول","ضعيف"))</f>
        <v/>
      </c>
      <c r="AF227" s="16">
        <f>IF((1-'الافتراضات'!$B$9)/(1+'الافتراضات'!$B$6)-P227-'الافتراضات'!$B$7-'الافتراضات'!$B$8&lt;=0,0,(V227+Q227)/((1-'الافتراضات'!$B$9)/(1+'الافتراضات'!$B$6)-P227-'الافتراضات'!$B$7-'الافتراضات'!$B$8))</f>
        <v/>
      </c>
    </row>
    <row r="228">
      <c r="A228" s="10" t="n">
        <v>227</v>
      </c>
      <c r="B228" s="11" t="inlineStr">
        <is>
          <t>المنزل والمطبخ</t>
        </is>
      </c>
      <c r="C228" s="11" t="inlineStr">
        <is>
          <t>مبرد هواء صغير</t>
        </is>
      </c>
      <c r="D228" s="11" t="inlineStr">
        <is>
          <t>portable air cooler</t>
        </is>
      </c>
      <c r="E228" s="12" t="n">
        <v>226</v>
      </c>
      <c r="F228" s="10" t="inlineStr">
        <is>
          <t>تقدير</t>
        </is>
      </c>
      <c r="G228" s="10" t="inlineStr">
        <is>
          <t>تقدير</t>
        </is>
      </c>
      <c r="H228" s="10" t="inlineStr">
        <is>
          <t>لم تُفحص</t>
        </is>
      </c>
      <c r="I228" s="10" t="inlineStr">
        <is>
          <t>لم يُفحص</t>
        </is>
      </c>
      <c r="J228" s="13" t="n">
        <v>20</v>
      </c>
      <c r="K228" s="11" t="inlineStr">
        <is>
          <t>تقدير</t>
        </is>
      </c>
      <c r="L228" s="14" t="n">
        <v>3.5</v>
      </c>
      <c r="M228" s="10" t="inlineStr">
        <is>
          <t>كبير</t>
        </is>
      </c>
      <c r="N228" s="11" t="inlineStr">
        <is>
          <t>طوال السنة</t>
        </is>
      </c>
      <c r="O228" s="11" t="inlineStr">
        <is>
          <t>SABER</t>
        </is>
      </c>
      <c r="P228" s="15" t="n">
        <v>0.15</v>
      </c>
      <c r="Q228" s="14" t="n">
        <v>17</v>
      </c>
      <c r="R228" s="14" t="n">
        <v>50</v>
      </c>
      <c r="S228" s="16">
        <f>J228*'الافتراضات'!$B$2*(1+'الافتراضات'!$B$3)</f>
        <v/>
      </c>
      <c r="T228" s="16">
        <f>L228*'الافتراضات'!$B$4</f>
        <v/>
      </c>
      <c r="U228" s="16">
        <f>(S228+T228)*'الافتراضات'!$B$5</f>
        <v/>
      </c>
      <c r="V228" s="16">
        <f>S228+T228+U228</f>
        <v/>
      </c>
      <c r="W228" s="16">
        <f>MAX(1,E228*P228)</f>
        <v/>
      </c>
      <c r="X228" s="16">
        <f>E228*'الافتراضات'!$B$7</f>
        <v/>
      </c>
      <c r="Y228" s="16">
        <f>E228*'الافتراضات'!$B$8</f>
        <v/>
      </c>
      <c r="Z228" s="16">
        <f>E228/(1+'الافتراضات'!$B$6)</f>
        <v/>
      </c>
      <c r="AA228" s="16">
        <f>Z228-V228-W228-Q228-X228-Y228</f>
        <v/>
      </c>
      <c r="AB228" s="17">
        <f>IF(Z228=0,0,AA228/Z228)</f>
        <v/>
      </c>
      <c r="AC228" s="17">
        <f>IF(V228=0,0,AA228/V228)</f>
        <v/>
      </c>
      <c r="AD228" s="18">
        <f>R228*V228</f>
        <v/>
      </c>
      <c r="AE228" s="16">
        <f>IF(AB228&gt;='الافتراضات'!$B$9,IF(O228="لا","ابدأ به","جيد – يحتاج شهادة"),IF(AB228&gt;='الافتراضات'!$B$10,"مقبول","ضعيف"))</f>
        <v/>
      </c>
      <c r="AF228" s="16">
        <f>IF((1-'الافتراضات'!$B$9)/(1+'الافتراضات'!$B$6)-P228-'الافتراضات'!$B$7-'الافتراضات'!$B$8&lt;=0,0,(V228+Q228)/((1-'الافتراضات'!$B$9)/(1+'الافتراضات'!$B$6)-P228-'الافتراضات'!$B$7-'الافتراضات'!$B$8))</f>
        <v/>
      </c>
    </row>
    <row r="229">
      <c r="A229" s="10" t="n">
        <v>228</v>
      </c>
      <c r="B229" s="11" t="inlineStr">
        <is>
          <t>إكسسوارات الجوال والإلكترونيات</t>
        </is>
      </c>
      <c r="C229" s="11" t="inlineStr">
        <is>
          <t>جهاز قياس الأكسجين بالإصبع</t>
        </is>
      </c>
      <c r="D229" s="11" t="inlineStr">
        <is>
          <t>fingertip pulse oximeter</t>
        </is>
      </c>
      <c r="E229" s="12" t="n">
        <v>40</v>
      </c>
      <c r="F229" s="10" t="inlineStr">
        <is>
          <t>تقدير</t>
        </is>
      </c>
      <c r="G229" s="10" t="inlineStr">
        <is>
          <t>تقدير</t>
        </is>
      </c>
      <c r="H229" s="10" t="inlineStr">
        <is>
          <t>لم تُفحص</t>
        </is>
      </c>
      <c r="I229" s="10" t="inlineStr">
        <is>
          <t>لم يُفحص</t>
        </is>
      </c>
      <c r="J229" s="13" t="n">
        <v>3.5</v>
      </c>
      <c r="K229" s="11" t="inlineStr">
        <is>
          <t>تقدير</t>
        </is>
      </c>
      <c r="L229" s="14" t="n">
        <v>0.1</v>
      </c>
      <c r="M229" s="10" t="inlineStr">
        <is>
          <t>صغير</t>
        </is>
      </c>
      <c r="N229" s="11" t="inlineStr">
        <is>
          <t>طوال السنة</t>
        </is>
      </c>
      <c r="O229" s="11" t="inlineStr">
        <is>
          <t>تحقق من اللوائح</t>
        </is>
      </c>
      <c r="P229" s="15" t="n">
        <v>0.14</v>
      </c>
      <c r="Q229" s="14" t="n">
        <v>8</v>
      </c>
      <c r="R229" s="14" t="n">
        <v>50</v>
      </c>
      <c r="S229" s="16">
        <f>J229*'الافتراضات'!$B$2*(1+'الافتراضات'!$B$3)</f>
        <v/>
      </c>
      <c r="T229" s="16">
        <f>L229*'الافتراضات'!$B$4</f>
        <v/>
      </c>
      <c r="U229" s="16">
        <f>(S229+T229)*'الافتراضات'!$B$5</f>
        <v/>
      </c>
      <c r="V229" s="16">
        <f>S229+T229+U229</f>
        <v/>
      </c>
      <c r="W229" s="16">
        <f>MAX(1,E229*P229)</f>
        <v/>
      </c>
      <c r="X229" s="16">
        <f>E229*'الافتراضات'!$B$7</f>
        <v/>
      </c>
      <c r="Y229" s="16">
        <f>E229*'الافتراضات'!$B$8</f>
        <v/>
      </c>
      <c r="Z229" s="16">
        <f>E229/(1+'الافتراضات'!$B$6)</f>
        <v/>
      </c>
      <c r="AA229" s="16">
        <f>Z229-V229-W229-Q229-X229-Y229</f>
        <v/>
      </c>
      <c r="AB229" s="17">
        <f>IF(Z229=0,0,AA229/Z229)</f>
        <v/>
      </c>
      <c r="AC229" s="17">
        <f>IF(V229=0,0,AA229/V229)</f>
        <v/>
      </c>
      <c r="AD229" s="18">
        <f>R229*V229</f>
        <v/>
      </c>
      <c r="AE229" s="16">
        <f>IF(AB229&gt;='الافتراضات'!$B$9,IF(O229="لا","ابدأ به","جيد – يحتاج شهادة"),IF(AB229&gt;='الافتراضات'!$B$10,"مقبول","ضعيف"))</f>
        <v/>
      </c>
      <c r="AF229" s="16">
        <f>IF((1-'الافتراضات'!$B$9)/(1+'الافتراضات'!$B$6)-P229-'الافتراضات'!$B$7-'الافتراضات'!$B$8&lt;=0,0,(V229+Q229)/((1-'الافتراضات'!$B$9)/(1+'الافتراضات'!$B$6)-P229-'الافتراضات'!$B$7-'الافتراضات'!$B$8))</f>
        <v/>
      </c>
    </row>
    <row r="230">
      <c r="A230" s="10" t="n">
        <v>229</v>
      </c>
      <c r="B230" s="11" t="inlineStr">
        <is>
          <t>المنزل والمطبخ</t>
        </is>
      </c>
      <c r="C230" s="11" t="inlineStr">
        <is>
          <t>بطانية كهربائية</t>
        </is>
      </c>
      <c r="D230" s="11" t="inlineStr">
        <is>
          <t>electric heated blanket</t>
        </is>
      </c>
      <c r="E230" s="12" t="n">
        <v>136</v>
      </c>
      <c r="F230" s="10" t="inlineStr">
        <is>
          <t>تقدير</t>
        </is>
      </c>
      <c r="G230" s="10" t="inlineStr">
        <is>
          <t>تقدير</t>
        </is>
      </c>
      <c r="H230" s="10" t="inlineStr">
        <is>
          <t>لم تُفحص</t>
        </is>
      </c>
      <c r="I230" s="10" t="inlineStr">
        <is>
          <t>لم يُفحص</t>
        </is>
      </c>
      <c r="J230" s="13" t="n">
        <v>12</v>
      </c>
      <c r="K230" s="11" t="inlineStr">
        <is>
          <t>تقدير</t>
        </is>
      </c>
      <c r="L230" s="14" t="n">
        <v>1.6</v>
      </c>
      <c r="M230" s="10" t="inlineStr">
        <is>
          <t>كبير</t>
        </is>
      </c>
      <c r="N230" s="11" t="inlineStr">
        <is>
          <t>الشتاء والكشتات</t>
        </is>
      </c>
      <c r="O230" s="11" t="inlineStr">
        <is>
          <t>SABER</t>
        </is>
      </c>
      <c r="P230" s="15" t="n">
        <v>0.15</v>
      </c>
      <c r="Q230" s="14" t="n">
        <v>15</v>
      </c>
      <c r="R230" s="14" t="n">
        <v>50</v>
      </c>
      <c r="S230" s="16">
        <f>J230*'الافتراضات'!$B$2*(1+'الافتراضات'!$B$3)</f>
        <v/>
      </c>
      <c r="T230" s="16">
        <f>L230*'الافتراضات'!$B$4</f>
        <v/>
      </c>
      <c r="U230" s="16">
        <f>(S230+T230)*'الافتراضات'!$B$5</f>
        <v/>
      </c>
      <c r="V230" s="16">
        <f>S230+T230+U230</f>
        <v/>
      </c>
      <c r="W230" s="16">
        <f>MAX(1,E230*P230)</f>
        <v/>
      </c>
      <c r="X230" s="16">
        <f>E230*'الافتراضات'!$B$7</f>
        <v/>
      </c>
      <c r="Y230" s="16">
        <f>E230*'الافتراضات'!$B$8</f>
        <v/>
      </c>
      <c r="Z230" s="16">
        <f>E230/(1+'الافتراضات'!$B$6)</f>
        <v/>
      </c>
      <c r="AA230" s="16">
        <f>Z230-V230-W230-Q230-X230-Y230</f>
        <v/>
      </c>
      <c r="AB230" s="17">
        <f>IF(Z230=0,0,AA230/Z230)</f>
        <v/>
      </c>
      <c r="AC230" s="17">
        <f>IF(V230=0,0,AA230/V230)</f>
        <v/>
      </c>
      <c r="AD230" s="18">
        <f>R230*V230</f>
        <v/>
      </c>
      <c r="AE230" s="16">
        <f>IF(AB230&gt;='الافتراضات'!$B$9,IF(O230="لا","ابدأ به","جيد – يحتاج شهادة"),IF(AB230&gt;='الافتراضات'!$B$10,"مقبول","ضعيف"))</f>
        <v/>
      </c>
      <c r="AF230" s="16">
        <f>IF((1-'الافتراضات'!$B$9)/(1+'الافتراضات'!$B$6)-P230-'الافتراضات'!$B$7-'الافتراضات'!$B$8&lt;=0,0,(V230+Q230)/((1-'الافتراضات'!$B$9)/(1+'الافتراضات'!$B$6)-P230-'الافتراضات'!$B$7-'الافتراضات'!$B$8))</f>
        <v/>
      </c>
    </row>
    <row r="231">
      <c r="A231" s="10" t="n">
        <v>230</v>
      </c>
      <c r="B231" s="11" t="inlineStr">
        <is>
          <t>المنزل والمطبخ</t>
        </is>
      </c>
      <c r="C231" s="11" t="inlineStr">
        <is>
          <t>طقم أواني طهي غير لاصقة</t>
        </is>
      </c>
      <c r="D231" s="11" t="inlineStr">
        <is>
          <t>nonstick cookware set</t>
        </is>
      </c>
      <c r="E231" s="12" t="n">
        <v>317</v>
      </c>
      <c r="F231" s="10" t="inlineStr">
        <is>
          <t>تقدير</t>
        </is>
      </c>
      <c r="G231" s="10" t="inlineStr">
        <is>
          <t>تقدير</t>
        </is>
      </c>
      <c r="H231" s="10" t="inlineStr">
        <is>
          <t>لم تُفحص</t>
        </is>
      </c>
      <c r="I231" s="10" t="inlineStr">
        <is>
          <t>لم يُفحص</t>
        </is>
      </c>
      <c r="J231" s="13" t="n">
        <v>28</v>
      </c>
      <c r="K231" s="11" t="inlineStr">
        <is>
          <t>تقدير</t>
        </is>
      </c>
      <c r="L231" s="14" t="n">
        <v>6</v>
      </c>
      <c r="M231" s="10" t="inlineStr">
        <is>
          <t>كبير</t>
        </is>
      </c>
      <c r="N231" s="11" t="inlineStr">
        <is>
          <t>طوال السنة</t>
        </is>
      </c>
      <c r="O231" s="11" t="inlineStr">
        <is>
          <t>ملامس للغذاء (SFDA)</t>
        </is>
      </c>
      <c r="P231" s="15" t="n">
        <v>0.14</v>
      </c>
      <c r="Q231" s="14" t="n">
        <v>19</v>
      </c>
      <c r="R231" s="14" t="n">
        <v>50</v>
      </c>
      <c r="S231" s="16">
        <f>J231*'الافتراضات'!$B$2*(1+'الافتراضات'!$B$3)</f>
        <v/>
      </c>
      <c r="T231" s="16">
        <f>L231*'الافتراضات'!$B$4</f>
        <v/>
      </c>
      <c r="U231" s="16">
        <f>(S231+T231)*'الافتراضات'!$B$5</f>
        <v/>
      </c>
      <c r="V231" s="16">
        <f>S231+T231+U231</f>
        <v/>
      </c>
      <c r="W231" s="16">
        <f>MAX(1,E231*P231)</f>
        <v/>
      </c>
      <c r="X231" s="16">
        <f>E231*'الافتراضات'!$B$7</f>
        <v/>
      </c>
      <c r="Y231" s="16">
        <f>E231*'الافتراضات'!$B$8</f>
        <v/>
      </c>
      <c r="Z231" s="16">
        <f>E231/(1+'الافتراضات'!$B$6)</f>
        <v/>
      </c>
      <c r="AA231" s="16">
        <f>Z231-V231-W231-Q231-X231-Y231</f>
        <v/>
      </c>
      <c r="AB231" s="17">
        <f>IF(Z231=0,0,AA231/Z231)</f>
        <v/>
      </c>
      <c r="AC231" s="17">
        <f>IF(V231=0,0,AA231/V231)</f>
        <v/>
      </c>
      <c r="AD231" s="18">
        <f>R231*V231</f>
        <v/>
      </c>
      <c r="AE231" s="16">
        <f>IF(AB231&gt;='الافتراضات'!$B$9,IF(O231="لا","ابدأ به","جيد – يحتاج شهادة"),IF(AB231&gt;='الافتراضات'!$B$10,"مقبول","ضعيف"))</f>
        <v/>
      </c>
      <c r="AF231" s="16">
        <f>IF((1-'الافتراضات'!$B$9)/(1+'الافتراضات'!$B$6)-P231-'الافتراضات'!$B$7-'الافتراضات'!$B$8&lt;=0,0,(V231+Q231)/((1-'الافتراضات'!$B$9)/(1+'الافتراضات'!$B$6)-P231-'الافتراضات'!$B$7-'الافتراضات'!$B$8))</f>
        <v/>
      </c>
    </row>
    <row r="232">
      <c r="A232" s="10" t="n">
        <v>231</v>
      </c>
      <c r="B232" s="11" t="inlineStr">
        <is>
          <t>المنزل والمطبخ</t>
        </is>
      </c>
      <c r="C232" s="11" t="inlineStr">
        <is>
          <t>مضخة مياه للجالون كهربائية</t>
        </is>
      </c>
      <c r="D232" s="11" t="inlineStr">
        <is>
          <t>automatic water dispenser pump gallon</t>
        </is>
      </c>
      <c r="E232" s="12" t="n">
        <v>25</v>
      </c>
      <c r="F232" s="10" t="inlineStr">
        <is>
          <t>تقدير</t>
        </is>
      </c>
      <c r="G232" s="10" t="inlineStr">
        <is>
          <t>تقدير</t>
        </is>
      </c>
      <c r="H232" s="10" t="inlineStr">
        <is>
          <t>لم تُفحص</t>
        </is>
      </c>
      <c r="I232" s="10" t="inlineStr">
        <is>
          <t>لم يُفحص</t>
        </is>
      </c>
      <c r="J232" s="13" t="n">
        <v>1.4</v>
      </c>
      <c r="K232" s="11" t="inlineStr">
        <is>
          <t>تقدير</t>
        </is>
      </c>
      <c r="L232" s="14" t="n">
        <v>0.2</v>
      </c>
      <c r="M232" s="10" t="inlineStr">
        <is>
          <t>صغير</t>
        </is>
      </c>
      <c r="N232" s="11" t="inlineStr">
        <is>
          <t>طوال السنة</t>
        </is>
      </c>
      <c r="O232" s="11" t="inlineStr">
        <is>
          <t>SABER + بطارية ليثيوم</t>
        </is>
      </c>
      <c r="P232" s="15" t="n">
        <v>0.15</v>
      </c>
      <c r="Q232" s="14" t="n">
        <v>7</v>
      </c>
      <c r="R232" s="14" t="n">
        <v>50</v>
      </c>
      <c r="S232" s="16">
        <f>J232*'الافتراضات'!$B$2*(1+'الافتراضات'!$B$3)</f>
        <v/>
      </c>
      <c r="T232" s="16">
        <f>L232*'الافتراضات'!$B$4</f>
        <v/>
      </c>
      <c r="U232" s="16">
        <f>(S232+T232)*'الافتراضات'!$B$5</f>
        <v/>
      </c>
      <c r="V232" s="16">
        <f>S232+T232+U232</f>
        <v/>
      </c>
      <c r="W232" s="16">
        <f>MAX(1,E232*P232)</f>
        <v/>
      </c>
      <c r="X232" s="16">
        <f>E232*'الافتراضات'!$B$7</f>
        <v/>
      </c>
      <c r="Y232" s="16">
        <f>E232*'الافتراضات'!$B$8</f>
        <v/>
      </c>
      <c r="Z232" s="16">
        <f>E232/(1+'الافتراضات'!$B$6)</f>
        <v/>
      </c>
      <c r="AA232" s="16">
        <f>Z232-V232-W232-Q232-X232-Y232</f>
        <v/>
      </c>
      <c r="AB232" s="17">
        <f>IF(Z232=0,0,AA232/Z232)</f>
        <v/>
      </c>
      <c r="AC232" s="17">
        <f>IF(V232=0,0,AA232/V232)</f>
        <v/>
      </c>
      <c r="AD232" s="18">
        <f>R232*V232</f>
        <v/>
      </c>
      <c r="AE232" s="16">
        <f>IF(AB232&gt;='الافتراضات'!$B$9,IF(O232="لا","ابدأ به","جيد – يحتاج شهادة"),IF(AB232&gt;='الافتراضات'!$B$10,"مقبول","ضعيف"))</f>
        <v/>
      </c>
      <c r="AF232" s="16">
        <f>IF((1-'الافتراضات'!$B$9)/(1+'الافتراضات'!$B$6)-P232-'الافتراضات'!$B$7-'الافتراضات'!$B$8&lt;=0,0,(V232+Q232)/((1-'الافتراضات'!$B$9)/(1+'الافتراضات'!$B$6)-P232-'الافتراضات'!$B$7-'الافتراضات'!$B$8))</f>
        <v/>
      </c>
    </row>
    <row r="233">
      <c r="A233" s="10" t="n">
        <v>232</v>
      </c>
      <c r="B233" s="11" t="inlineStr">
        <is>
          <t>الحيوانات الأليفة</t>
        </is>
      </c>
      <c r="C233" s="11" t="inlineStr">
        <is>
          <t>وعاء ماء للحيوانات المحمولة</t>
        </is>
      </c>
      <c r="D233" s="11" t="inlineStr">
        <is>
          <t>portable pet water bottle</t>
        </is>
      </c>
      <c r="E233" s="12" t="n">
        <v>25</v>
      </c>
      <c r="F233" s="10" t="inlineStr">
        <is>
          <t>تقدير</t>
        </is>
      </c>
      <c r="G233" s="10" t="inlineStr">
        <is>
          <t>تقدير</t>
        </is>
      </c>
      <c r="H233" s="10" t="inlineStr">
        <is>
          <t>لم تُفحص</t>
        </is>
      </c>
      <c r="I233" s="10" t="inlineStr">
        <is>
          <t>لم يُفحص</t>
        </is>
      </c>
      <c r="J233" s="13" t="n">
        <v>1.4</v>
      </c>
      <c r="K233" s="11" t="inlineStr">
        <is>
          <t>تقدير</t>
        </is>
      </c>
      <c r="L233" s="14" t="n">
        <v>0.2</v>
      </c>
      <c r="M233" s="10" t="inlineStr">
        <is>
          <t>صغير</t>
        </is>
      </c>
      <c r="N233" s="11" t="inlineStr">
        <is>
          <t>طوال السنة</t>
        </is>
      </c>
      <c r="O233" s="11" t="inlineStr">
        <is>
          <t>ملامس للغذاء (SFDA)</t>
        </is>
      </c>
      <c r="P233" s="15" t="n">
        <v>0.15</v>
      </c>
      <c r="Q233" s="14" t="n">
        <v>7</v>
      </c>
      <c r="R233" s="14" t="n">
        <v>50</v>
      </c>
      <c r="S233" s="16">
        <f>J233*'الافتراضات'!$B$2*(1+'الافتراضات'!$B$3)</f>
        <v/>
      </c>
      <c r="T233" s="16">
        <f>L233*'الافتراضات'!$B$4</f>
        <v/>
      </c>
      <c r="U233" s="16">
        <f>(S233+T233)*'الافتراضات'!$B$5</f>
        <v/>
      </c>
      <c r="V233" s="16">
        <f>S233+T233+U233</f>
        <v/>
      </c>
      <c r="W233" s="16">
        <f>MAX(1,E233*P233)</f>
        <v/>
      </c>
      <c r="X233" s="16">
        <f>E233*'الافتراضات'!$B$7</f>
        <v/>
      </c>
      <c r="Y233" s="16">
        <f>E233*'الافتراضات'!$B$8</f>
        <v/>
      </c>
      <c r="Z233" s="16">
        <f>E233/(1+'الافتراضات'!$B$6)</f>
        <v/>
      </c>
      <c r="AA233" s="16">
        <f>Z233-V233-W233-Q233-X233-Y233</f>
        <v/>
      </c>
      <c r="AB233" s="17">
        <f>IF(Z233=0,0,AA233/Z233)</f>
        <v/>
      </c>
      <c r="AC233" s="17">
        <f>IF(V233=0,0,AA233/V233)</f>
        <v/>
      </c>
      <c r="AD233" s="18">
        <f>R233*V233</f>
        <v/>
      </c>
      <c r="AE233" s="16">
        <f>IF(AB233&gt;='الافتراضات'!$B$9,IF(O233="لا","ابدأ به","جيد – يحتاج شهادة"),IF(AB233&gt;='الافتراضات'!$B$10,"مقبول","ضعيف"))</f>
        <v/>
      </c>
      <c r="AF233" s="16">
        <f>IF((1-'الافتراضات'!$B$9)/(1+'الافتراضات'!$B$6)-P233-'الافتراضات'!$B$7-'الافتراضات'!$B$8&lt;=0,0,(V233+Q233)/((1-'الافتراضات'!$B$9)/(1+'الافتراضات'!$B$6)-P233-'الافتراضات'!$B$7-'الافتراضات'!$B$8))</f>
        <v/>
      </c>
    </row>
    <row r="234">
      <c r="A234" s="10" t="n">
        <v>233</v>
      </c>
      <c r="B234" s="11" t="inlineStr">
        <is>
          <t>إكسسوارات الجوال والإلكترونيات</t>
        </is>
      </c>
      <c r="C234" s="11" t="inlineStr">
        <is>
          <t>مبرد جوال للألعاب</t>
        </is>
      </c>
      <c r="D234" s="11" t="inlineStr">
        <is>
          <t>phone cooler gaming fan</t>
        </is>
      </c>
      <c r="E234" s="12" t="n">
        <v>45</v>
      </c>
      <c r="F234" s="10" t="inlineStr">
        <is>
          <t>تقدير</t>
        </is>
      </c>
      <c r="G234" s="10" t="inlineStr">
        <is>
          <t>تقدير</t>
        </is>
      </c>
      <c r="H234" s="10" t="inlineStr">
        <is>
          <t>لم تُفحص</t>
        </is>
      </c>
      <c r="I234" s="10" t="inlineStr">
        <is>
          <t>لم يُفحص</t>
        </is>
      </c>
      <c r="J234" s="13" t="n">
        <v>4</v>
      </c>
      <c r="K234" s="11" t="inlineStr">
        <is>
          <t>تقدير</t>
        </is>
      </c>
      <c r="L234" s="14" t="n">
        <v>0.15</v>
      </c>
      <c r="M234" s="10" t="inlineStr">
        <is>
          <t>صغير</t>
        </is>
      </c>
      <c r="N234" s="11" t="inlineStr">
        <is>
          <t>طوال السنة</t>
        </is>
      </c>
      <c r="O234" s="11" t="inlineStr">
        <is>
          <t>SABER + بطارية ليثيوم</t>
        </is>
      </c>
      <c r="P234" s="15" t="n">
        <v>0.13</v>
      </c>
      <c r="Q234" s="14" t="n">
        <v>9</v>
      </c>
      <c r="R234" s="14" t="n">
        <v>50</v>
      </c>
      <c r="S234" s="16">
        <f>J234*'الافتراضات'!$B$2*(1+'الافتراضات'!$B$3)</f>
        <v/>
      </c>
      <c r="T234" s="16">
        <f>L234*'الافتراضات'!$B$4</f>
        <v/>
      </c>
      <c r="U234" s="16">
        <f>(S234+T234)*'الافتراضات'!$B$5</f>
        <v/>
      </c>
      <c r="V234" s="16">
        <f>S234+T234+U234</f>
        <v/>
      </c>
      <c r="W234" s="16">
        <f>MAX(1,E234*P234)</f>
        <v/>
      </c>
      <c r="X234" s="16">
        <f>E234*'الافتراضات'!$B$7</f>
        <v/>
      </c>
      <c r="Y234" s="16">
        <f>E234*'الافتراضات'!$B$8</f>
        <v/>
      </c>
      <c r="Z234" s="16">
        <f>E234/(1+'الافتراضات'!$B$6)</f>
        <v/>
      </c>
      <c r="AA234" s="16">
        <f>Z234-V234-W234-Q234-X234-Y234</f>
        <v/>
      </c>
      <c r="AB234" s="17">
        <f>IF(Z234=0,0,AA234/Z234)</f>
        <v/>
      </c>
      <c r="AC234" s="17">
        <f>IF(V234=0,0,AA234/V234)</f>
        <v/>
      </c>
      <c r="AD234" s="18">
        <f>R234*V234</f>
        <v/>
      </c>
      <c r="AE234" s="16">
        <f>IF(AB234&gt;='الافتراضات'!$B$9,IF(O234="لا","ابدأ به","جيد – يحتاج شهادة"),IF(AB234&gt;='الافتراضات'!$B$10,"مقبول","ضعيف"))</f>
        <v/>
      </c>
      <c r="AF234" s="16">
        <f>IF((1-'الافتراضات'!$B$9)/(1+'الافتراضات'!$B$6)-P234-'الافتراضات'!$B$7-'الافتراضات'!$B$8&lt;=0,0,(V234+Q234)/((1-'الافتراضات'!$B$9)/(1+'الافتراضات'!$B$6)-P234-'الافتراضات'!$B$7-'الافتراضات'!$B$8))</f>
        <v/>
      </c>
    </row>
    <row r="235">
      <c r="A235" s="10" t="n">
        <v>234</v>
      </c>
      <c r="B235" s="11" t="inlineStr">
        <is>
          <t>المنزل والمطبخ</t>
        </is>
      </c>
      <c r="C235" s="11" t="inlineStr">
        <is>
          <t>مطحنة قهوة يدوية سيراميك</t>
        </is>
      </c>
      <c r="D235" s="11" t="inlineStr">
        <is>
          <t>manual coffee grinder ceramic burr</t>
        </is>
      </c>
      <c r="E235" s="12" t="n">
        <v>68</v>
      </c>
      <c r="F235" s="10" t="inlineStr">
        <is>
          <t>تقدير</t>
        </is>
      </c>
      <c r="G235" s="10" t="inlineStr">
        <is>
          <t>تقدير</t>
        </is>
      </c>
      <c r="H235" s="10" t="inlineStr">
        <is>
          <t>لم تُفحص</t>
        </is>
      </c>
      <c r="I235" s="10" t="inlineStr">
        <is>
          <t>لم يُفحص</t>
        </is>
      </c>
      <c r="J235" s="13" t="n">
        <v>6</v>
      </c>
      <c r="K235" s="11" t="inlineStr">
        <is>
          <t>تقدير</t>
        </is>
      </c>
      <c r="L235" s="14" t="n">
        <v>0.6</v>
      </c>
      <c r="M235" s="10" t="inlineStr">
        <is>
          <t>متوسط</t>
        </is>
      </c>
      <c r="N235" s="11" t="inlineStr">
        <is>
          <t>طوال السنة</t>
        </is>
      </c>
      <c r="O235" s="11" t="inlineStr">
        <is>
          <t>ملامس للغذاء (SFDA)</t>
        </is>
      </c>
      <c r="P235" s="15" t="n">
        <v>0.14</v>
      </c>
      <c r="Q235" s="14" t="n">
        <v>10</v>
      </c>
      <c r="R235" s="14" t="n">
        <v>50</v>
      </c>
      <c r="S235" s="16">
        <f>J235*'الافتراضات'!$B$2*(1+'الافتراضات'!$B$3)</f>
        <v/>
      </c>
      <c r="T235" s="16">
        <f>L235*'الافتراضات'!$B$4</f>
        <v/>
      </c>
      <c r="U235" s="16">
        <f>(S235+T235)*'الافتراضات'!$B$5</f>
        <v/>
      </c>
      <c r="V235" s="16">
        <f>S235+T235+U235</f>
        <v/>
      </c>
      <c r="W235" s="16">
        <f>MAX(1,E235*P235)</f>
        <v/>
      </c>
      <c r="X235" s="16">
        <f>E235*'الافتراضات'!$B$7</f>
        <v/>
      </c>
      <c r="Y235" s="16">
        <f>E235*'الافتراضات'!$B$8</f>
        <v/>
      </c>
      <c r="Z235" s="16">
        <f>E235/(1+'الافتراضات'!$B$6)</f>
        <v/>
      </c>
      <c r="AA235" s="16">
        <f>Z235-V235-W235-Q235-X235-Y235</f>
        <v/>
      </c>
      <c r="AB235" s="17">
        <f>IF(Z235=0,0,AA235/Z235)</f>
        <v/>
      </c>
      <c r="AC235" s="17">
        <f>IF(V235=0,0,AA235/V235)</f>
        <v/>
      </c>
      <c r="AD235" s="18">
        <f>R235*V235</f>
        <v/>
      </c>
      <c r="AE235" s="16">
        <f>IF(AB235&gt;='الافتراضات'!$B$9,IF(O235="لا","ابدأ به","جيد – يحتاج شهادة"),IF(AB235&gt;='الافتراضات'!$B$10,"مقبول","ضعيف"))</f>
        <v/>
      </c>
      <c r="AF235" s="16">
        <f>IF((1-'الافتراضات'!$B$9)/(1+'الافتراضات'!$B$6)-P235-'الافتراضات'!$B$7-'الافتراضات'!$B$8&lt;=0,0,(V235+Q235)/((1-'الافتراضات'!$B$9)/(1+'الافتراضات'!$B$6)-P235-'الافتراضات'!$B$7-'الافتراضات'!$B$8))</f>
        <v/>
      </c>
    </row>
    <row r="236">
      <c r="A236" s="10" t="n">
        <v>235</v>
      </c>
      <c r="B236" s="11" t="inlineStr">
        <is>
          <t>السيارات والدراجات</t>
        </is>
      </c>
      <c r="C236" s="11" t="inlineStr">
        <is>
          <t>غطاء مقعد سيارة كامل</t>
        </is>
      </c>
      <c r="D236" s="11" t="inlineStr">
        <is>
          <t>car seat cover set</t>
        </is>
      </c>
      <c r="E236" s="12" t="n">
        <v>158</v>
      </c>
      <c r="F236" s="10" t="inlineStr">
        <is>
          <t>تقدير</t>
        </is>
      </c>
      <c r="G236" s="10" t="inlineStr">
        <is>
          <t>تقدير</t>
        </is>
      </c>
      <c r="H236" s="10" t="inlineStr">
        <is>
          <t>لم تُفحص</t>
        </is>
      </c>
      <c r="I236" s="10" t="inlineStr">
        <is>
          <t>لم يُفحص</t>
        </is>
      </c>
      <c r="J236" s="13" t="n">
        <v>14</v>
      </c>
      <c r="K236" s="11" t="inlineStr">
        <is>
          <t>تقدير</t>
        </is>
      </c>
      <c r="L236" s="14" t="n">
        <v>3</v>
      </c>
      <c r="M236" s="10" t="inlineStr">
        <is>
          <t>كبير</t>
        </is>
      </c>
      <c r="N236" s="11" t="inlineStr">
        <is>
          <t>طوال السنة</t>
        </is>
      </c>
      <c r="O236" s="11" t="inlineStr">
        <is>
          <t>لا</t>
        </is>
      </c>
      <c r="P236" s="15" t="n">
        <v>0.1</v>
      </c>
      <c r="Q236" s="14" t="n">
        <v>16</v>
      </c>
      <c r="R236" s="14" t="n">
        <v>50</v>
      </c>
      <c r="S236" s="16">
        <f>J236*'الافتراضات'!$B$2*(1+'الافتراضات'!$B$3)</f>
        <v/>
      </c>
      <c r="T236" s="16">
        <f>L236*'الافتراضات'!$B$4</f>
        <v/>
      </c>
      <c r="U236" s="16">
        <f>(S236+T236)*'الافتراضات'!$B$5</f>
        <v/>
      </c>
      <c r="V236" s="16">
        <f>S236+T236+U236</f>
        <v/>
      </c>
      <c r="W236" s="16">
        <f>MAX(1,E236*P236)</f>
        <v/>
      </c>
      <c r="X236" s="16">
        <f>E236*'الافتراضات'!$B$7</f>
        <v/>
      </c>
      <c r="Y236" s="16">
        <f>E236*'الافتراضات'!$B$8</f>
        <v/>
      </c>
      <c r="Z236" s="16">
        <f>E236/(1+'الافتراضات'!$B$6)</f>
        <v/>
      </c>
      <c r="AA236" s="16">
        <f>Z236-V236-W236-Q236-X236-Y236</f>
        <v/>
      </c>
      <c r="AB236" s="17">
        <f>IF(Z236=0,0,AA236/Z236)</f>
        <v/>
      </c>
      <c r="AC236" s="17">
        <f>IF(V236=0,0,AA236/V236)</f>
        <v/>
      </c>
      <c r="AD236" s="18">
        <f>R236*V236</f>
        <v/>
      </c>
      <c r="AE236" s="16">
        <f>IF(AB236&gt;='الافتراضات'!$B$9,IF(O236="لا","ابدأ به","جيد – يحتاج شهادة"),IF(AB236&gt;='الافتراضات'!$B$10,"مقبول","ضعيف"))</f>
        <v/>
      </c>
      <c r="AF236" s="16">
        <f>IF((1-'الافتراضات'!$B$9)/(1+'الافتراضات'!$B$6)-P236-'الافتراضات'!$B$7-'الافتراضات'!$B$8&lt;=0,0,(V236+Q236)/((1-'الافتراضات'!$B$9)/(1+'الافتراضات'!$B$6)-P236-'الافتراضات'!$B$7-'الافتراضات'!$B$8))</f>
        <v/>
      </c>
    </row>
    <row r="237">
      <c r="A237" s="10" t="n">
        <v>236</v>
      </c>
      <c r="B237" s="11" t="inlineStr">
        <is>
          <t>الأطفال والألعاب</t>
        </is>
      </c>
      <c r="C237" s="11" t="inlineStr">
        <is>
          <t>كرسي طعام للأطفال</t>
        </is>
      </c>
      <c r="D237" s="11" t="inlineStr">
        <is>
          <t>baby high chair</t>
        </is>
      </c>
      <c r="E237" s="12" t="n">
        <v>283</v>
      </c>
      <c r="F237" s="10" t="inlineStr">
        <is>
          <t>تقدير</t>
        </is>
      </c>
      <c r="G237" s="10" t="inlineStr">
        <is>
          <t>تقدير</t>
        </is>
      </c>
      <c r="H237" s="10" t="inlineStr">
        <is>
          <t>لم تُفحص</t>
        </is>
      </c>
      <c r="I237" s="10" t="inlineStr">
        <is>
          <t>لم يُفحص</t>
        </is>
      </c>
      <c r="J237" s="13" t="n">
        <v>25</v>
      </c>
      <c r="K237" s="11" t="inlineStr">
        <is>
          <t>تقدير</t>
        </is>
      </c>
      <c r="L237" s="14" t="n">
        <v>5</v>
      </c>
      <c r="M237" s="10" t="inlineStr">
        <is>
          <t>كبير</t>
        </is>
      </c>
      <c r="N237" s="11" t="inlineStr">
        <is>
          <t>طوال السنة</t>
        </is>
      </c>
      <c r="O237" s="11" t="inlineStr">
        <is>
          <t>تحقق من اللوائح</t>
        </is>
      </c>
      <c r="P237" s="15" t="n">
        <v>0.15</v>
      </c>
      <c r="Q237" s="14" t="n">
        <v>18</v>
      </c>
      <c r="R237" s="14" t="n">
        <v>50</v>
      </c>
      <c r="S237" s="16">
        <f>J237*'الافتراضات'!$B$2*(1+'الافتراضات'!$B$3)</f>
        <v/>
      </c>
      <c r="T237" s="16">
        <f>L237*'الافتراضات'!$B$4</f>
        <v/>
      </c>
      <c r="U237" s="16">
        <f>(S237+T237)*'الافتراضات'!$B$5</f>
        <v/>
      </c>
      <c r="V237" s="16">
        <f>S237+T237+U237</f>
        <v/>
      </c>
      <c r="W237" s="16">
        <f>MAX(1,E237*P237)</f>
        <v/>
      </c>
      <c r="X237" s="16">
        <f>E237*'الافتراضات'!$B$7</f>
        <v/>
      </c>
      <c r="Y237" s="16">
        <f>E237*'الافتراضات'!$B$8</f>
        <v/>
      </c>
      <c r="Z237" s="16">
        <f>E237/(1+'الافتراضات'!$B$6)</f>
        <v/>
      </c>
      <c r="AA237" s="16">
        <f>Z237-V237-W237-Q237-X237-Y237</f>
        <v/>
      </c>
      <c r="AB237" s="17">
        <f>IF(Z237=0,0,AA237/Z237)</f>
        <v/>
      </c>
      <c r="AC237" s="17">
        <f>IF(V237=0,0,AA237/V237)</f>
        <v/>
      </c>
      <c r="AD237" s="18">
        <f>R237*V237</f>
        <v/>
      </c>
      <c r="AE237" s="16">
        <f>IF(AB237&gt;='الافتراضات'!$B$9,IF(O237="لا","ابدأ به","جيد – يحتاج شهادة"),IF(AB237&gt;='الافتراضات'!$B$10,"مقبول","ضعيف"))</f>
        <v/>
      </c>
      <c r="AF237" s="16">
        <f>IF((1-'الافتراضات'!$B$9)/(1+'الافتراضات'!$B$6)-P237-'الافتراضات'!$B$7-'الافتراضات'!$B$8&lt;=0,0,(V237+Q237)/((1-'الافتراضات'!$B$9)/(1+'الافتراضات'!$B$6)-P237-'الافتراضات'!$B$7-'الافتراضات'!$B$8))</f>
        <v/>
      </c>
    </row>
    <row r="238">
      <c r="A238" s="10" t="n">
        <v>237</v>
      </c>
      <c r="B238" s="11" t="inlineStr">
        <is>
          <t>المنزل والمطبخ</t>
        </is>
      </c>
      <c r="C238" s="11" t="inlineStr">
        <is>
          <t>خلاط محمول قابل للشحن</t>
        </is>
      </c>
      <c r="D238" s="11" t="inlineStr">
        <is>
          <t>portable blender rechargeable</t>
        </is>
      </c>
      <c r="E238" s="12" t="n">
        <v>74</v>
      </c>
      <c r="F238" s="10" t="inlineStr">
        <is>
          <t>تقدير</t>
        </is>
      </c>
      <c r="G238" s="10" t="inlineStr">
        <is>
          <t>تقدير</t>
        </is>
      </c>
      <c r="H238" s="10" t="inlineStr">
        <is>
          <t>لم تُفحص</t>
        </is>
      </c>
      <c r="I238" s="10" t="inlineStr">
        <is>
          <t>لم يُفحص</t>
        </is>
      </c>
      <c r="J238" s="13" t="n">
        <v>6.5</v>
      </c>
      <c r="K238" s="11" t="inlineStr">
        <is>
          <t>تقدير</t>
        </is>
      </c>
      <c r="L238" s="14" t="n">
        <v>0.7</v>
      </c>
      <c r="M238" s="10" t="inlineStr">
        <is>
          <t>متوسط</t>
        </is>
      </c>
      <c r="N238" s="11" t="inlineStr">
        <is>
          <t>طوال السنة</t>
        </is>
      </c>
      <c r="O238" s="11" t="inlineStr">
        <is>
          <t>SABER + بطارية ليثيوم</t>
        </is>
      </c>
      <c r="P238" s="15" t="n">
        <v>0.15</v>
      </c>
      <c r="Q238" s="14" t="n">
        <v>10</v>
      </c>
      <c r="R238" s="14" t="n">
        <v>50</v>
      </c>
      <c r="S238" s="16">
        <f>J238*'الافتراضات'!$B$2*(1+'الافتراضات'!$B$3)</f>
        <v/>
      </c>
      <c r="T238" s="16">
        <f>L238*'الافتراضات'!$B$4</f>
        <v/>
      </c>
      <c r="U238" s="16">
        <f>(S238+T238)*'الافتراضات'!$B$5</f>
        <v/>
      </c>
      <c r="V238" s="16">
        <f>S238+T238+U238</f>
        <v/>
      </c>
      <c r="W238" s="16">
        <f>MAX(1,E238*P238)</f>
        <v/>
      </c>
      <c r="X238" s="16">
        <f>E238*'الافتراضات'!$B$7</f>
        <v/>
      </c>
      <c r="Y238" s="16">
        <f>E238*'الافتراضات'!$B$8</f>
        <v/>
      </c>
      <c r="Z238" s="16">
        <f>E238/(1+'الافتراضات'!$B$6)</f>
        <v/>
      </c>
      <c r="AA238" s="16">
        <f>Z238-V238-W238-Q238-X238-Y238</f>
        <v/>
      </c>
      <c r="AB238" s="17">
        <f>IF(Z238=0,0,AA238/Z238)</f>
        <v/>
      </c>
      <c r="AC238" s="17">
        <f>IF(V238=0,0,AA238/V238)</f>
        <v/>
      </c>
      <c r="AD238" s="18">
        <f>R238*V238</f>
        <v/>
      </c>
      <c r="AE238" s="16">
        <f>IF(AB238&gt;='الافتراضات'!$B$9,IF(O238="لا","ابدأ به","جيد – يحتاج شهادة"),IF(AB238&gt;='الافتراضات'!$B$10,"مقبول","ضعيف"))</f>
        <v/>
      </c>
      <c r="AF238" s="16">
        <f>IF((1-'الافتراضات'!$B$9)/(1+'الافتراضات'!$B$6)-P238-'الافتراضات'!$B$7-'الافتراضات'!$B$8&lt;=0,0,(V238+Q238)/((1-'الافتراضات'!$B$9)/(1+'الافتراضات'!$B$6)-P238-'الافتراضات'!$B$7-'الافتراضات'!$B$8))</f>
        <v/>
      </c>
    </row>
    <row r="239">
      <c r="A239" s="10" t="n">
        <v>238</v>
      </c>
      <c r="B239" s="11" t="inlineStr">
        <is>
          <t>السيارات والدراجات</t>
        </is>
      </c>
      <c r="C239" s="11" t="inlineStr">
        <is>
          <t>سلة نفايات للسيارة</t>
        </is>
      </c>
      <c r="D239" s="11" t="inlineStr">
        <is>
          <t>car trash can bag</t>
        </is>
      </c>
      <c r="E239" s="12" t="n">
        <v>25</v>
      </c>
      <c r="F239" s="10" t="inlineStr">
        <is>
          <t>تقدير</t>
        </is>
      </c>
      <c r="G239" s="10" t="inlineStr">
        <is>
          <t>تقدير</t>
        </is>
      </c>
      <c r="H239" s="10" t="inlineStr">
        <is>
          <t>لم تُفحص</t>
        </is>
      </c>
      <c r="I239" s="10" t="inlineStr">
        <is>
          <t>لم يُفحص</t>
        </is>
      </c>
      <c r="J239" s="13" t="n">
        <v>1.4</v>
      </c>
      <c r="K239" s="11" t="inlineStr">
        <is>
          <t>تقدير</t>
        </is>
      </c>
      <c r="L239" s="14" t="n">
        <v>0.3</v>
      </c>
      <c r="M239" s="10" t="inlineStr">
        <is>
          <t>صغير</t>
        </is>
      </c>
      <c r="N239" s="11" t="inlineStr">
        <is>
          <t>طوال السنة</t>
        </is>
      </c>
      <c r="O239" s="11" t="inlineStr">
        <is>
          <t>لا</t>
        </is>
      </c>
      <c r="P239" s="15" t="n">
        <v>0.1</v>
      </c>
      <c r="Q239" s="14" t="n">
        <v>7.5</v>
      </c>
      <c r="R239" s="14" t="n">
        <v>50</v>
      </c>
      <c r="S239" s="16">
        <f>J239*'الافتراضات'!$B$2*(1+'الافتراضات'!$B$3)</f>
        <v/>
      </c>
      <c r="T239" s="16">
        <f>L239*'الافتراضات'!$B$4</f>
        <v/>
      </c>
      <c r="U239" s="16">
        <f>(S239+T239)*'الافتراضات'!$B$5</f>
        <v/>
      </c>
      <c r="V239" s="16">
        <f>S239+T239+U239</f>
        <v/>
      </c>
      <c r="W239" s="16">
        <f>MAX(1,E239*P239)</f>
        <v/>
      </c>
      <c r="X239" s="16">
        <f>E239*'الافتراضات'!$B$7</f>
        <v/>
      </c>
      <c r="Y239" s="16">
        <f>E239*'الافتراضات'!$B$8</f>
        <v/>
      </c>
      <c r="Z239" s="16">
        <f>E239/(1+'الافتراضات'!$B$6)</f>
        <v/>
      </c>
      <c r="AA239" s="16">
        <f>Z239-V239-W239-Q239-X239-Y239</f>
        <v/>
      </c>
      <c r="AB239" s="17">
        <f>IF(Z239=0,0,AA239/Z239)</f>
        <v/>
      </c>
      <c r="AC239" s="17">
        <f>IF(V239=0,0,AA239/V239)</f>
        <v/>
      </c>
      <c r="AD239" s="18">
        <f>R239*V239</f>
        <v/>
      </c>
      <c r="AE239" s="16">
        <f>IF(AB239&gt;='الافتراضات'!$B$9,IF(O239="لا","ابدأ به","جيد – يحتاج شهادة"),IF(AB239&gt;='الافتراضات'!$B$10,"مقبول","ضعيف"))</f>
        <v/>
      </c>
      <c r="AF239" s="16">
        <f>IF((1-'الافتراضات'!$B$9)/(1+'الافتراضات'!$B$6)-P239-'الافتراضات'!$B$7-'الافتراضات'!$B$8&lt;=0,0,(V239+Q239)/((1-'الافتراضات'!$B$9)/(1+'الافتراضات'!$B$6)-P239-'الافتراضات'!$B$7-'الافتراضات'!$B$8))</f>
        <v/>
      </c>
    </row>
    <row r="240">
      <c r="A240" s="10" t="n">
        <v>239</v>
      </c>
      <c r="B240" s="11" t="inlineStr">
        <is>
          <t>رمضان والمناسبات</t>
        </is>
      </c>
      <c r="C240" s="11" t="inlineStr">
        <is>
          <t>سلسلة إضاءة رمضان هلال ونجوم</t>
        </is>
      </c>
      <c r="D240" s="11" t="inlineStr">
        <is>
          <t>ramadan crescent star string lights</t>
        </is>
      </c>
      <c r="E240" s="12" t="n">
        <v>25</v>
      </c>
      <c r="F240" s="10" t="inlineStr">
        <is>
          <t>تقدير</t>
        </is>
      </c>
      <c r="G240" s="10" t="inlineStr">
        <is>
          <t>تقدير</t>
        </is>
      </c>
      <c r="H240" s="10" t="inlineStr">
        <is>
          <t>لم تُفحص</t>
        </is>
      </c>
      <c r="I240" s="10" t="inlineStr">
        <is>
          <t>لم يُفحص</t>
        </is>
      </c>
      <c r="J240" s="13" t="n">
        <v>1.4</v>
      </c>
      <c r="K240" s="11" t="inlineStr">
        <is>
          <t>تقدير</t>
        </is>
      </c>
      <c r="L240" s="14" t="n">
        <v>0.3</v>
      </c>
      <c r="M240" s="10" t="inlineStr">
        <is>
          <t>صغير</t>
        </is>
      </c>
      <c r="N240" s="11" t="inlineStr">
        <is>
          <t>رمضان والمناسبات</t>
        </is>
      </c>
      <c r="O240" s="11" t="inlineStr">
        <is>
          <t>SABER + بطارية ليثيوم</t>
        </is>
      </c>
      <c r="P240" s="15" t="n">
        <v>0.1</v>
      </c>
      <c r="Q240" s="14" t="n">
        <v>7.5</v>
      </c>
      <c r="R240" s="14" t="n">
        <v>50</v>
      </c>
      <c r="S240" s="16">
        <f>J240*'الافتراضات'!$B$2*(1+'الافتراضات'!$B$3)</f>
        <v/>
      </c>
      <c r="T240" s="16">
        <f>L240*'الافتراضات'!$B$4</f>
        <v/>
      </c>
      <c r="U240" s="16">
        <f>(S240+T240)*'الافتراضات'!$B$5</f>
        <v/>
      </c>
      <c r="V240" s="16">
        <f>S240+T240+U240</f>
        <v/>
      </c>
      <c r="W240" s="16">
        <f>MAX(1,E240*P240)</f>
        <v/>
      </c>
      <c r="X240" s="16">
        <f>E240*'الافتراضات'!$B$7</f>
        <v/>
      </c>
      <c r="Y240" s="16">
        <f>E240*'الافتراضات'!$B$8</f>
        <v/>
      </c>
      <c r="Z240" s="16">
        <f>E240/(1+'الافتراضات'!$B$6)</f>
        <v/>
      </c>
      <c r="AA240" s="16">
        <f>Z240-V240-W240-Q240-X240-Y240</f>
        <v/>
      </c>
      <c r="AB240" s="17">
        <f>IF(Z240=0,0,AA240/Z240)</f>
        <v/>
      </c>
      <c r="AC240" s="17">
        <f>IF(V240=0,0,AA240/V240)</f>
        <v/>
      </c>
      <c r="AD240" s="18">
        <f>R240*V240</f>
        <v/>
      </c>
      <c r="AE240" s="16">
        <f>IF(AB240&gt;='الافتراضات'!$B$9,IF(O240="لا","ابدأ به","جيد – يحتاج شهادة"),IF(AB240&gt;='الافتراضات'!$B$10,"مقبول","ضعيف"))</f>
        <v/>
      </c>
      <c r="AF240" s="16">
        <f>IF((1-'الافتراضات'!$B$9)/(1+'الافتراضات'!$B$6)-P240-'الافتراضات'!$B$7-'الافتراضات'!$B$8&lt;=0,0,(V240+Q240)/((1-'الافتراضات'!$B$9)/(1+'الافتراضات'!$B$6)-P240-'الافتراضات'!$B$7-'الافتراضات'!$B$8))</f>
        <v/>
      </c>
    </row>
    <row r="241">
      <c r="A241" s="10" t="n">
        <v>240</v>
      </c>
      <c r="B241" s="11" t="inlineStr">
        <is>
          <t>المنزل والمطبخ</t>
        </is>
      </c>
      <c r="C241" s="11" t="inlineStr">
        <is>
          <t>دلة قهوة عربية ستانلس</t>
        </is>
      </c>
      <c r="D241" s="11" t="inlineStr">
        <is>
          <t>arabic coffee dallah</t>
        </is>
      </c>
      <c r="E241" s="12" t="n">
        <v>79</v>
      </c>
      <c r="F241" s="10" t="inlineStr">
        <is>
          <t>تقدير</t>
        </is>
      </c>
      <c r="G241" s="10" t="inlineStr">
        <is>
          <t>تقدير</t>
        </is>
      </c>
      <c r="H241" s="10" t="inlineStr">
        <is>
          <t>لم تُفحص</t>
        </is>
      </c>
      <c r="I241" s="10" t="inlineStr">
        <is>
          <t>لم يُفحص</t>
        </is>
      </c>
      <c r="J241" s="13" t="n">
        <v>7</v>
      </c>
      <c r="K241" s="11" t="inlineStr">
        <is>
          <t>تقدير</t>
        </is>
      </c>
      <c r="L241" s="14" t="n">
        <v>0.9</v>
      </c>
      <c r="M241" s="10" t="inlineStr">
        <is>
          <t>متوسط</t>
        </is>
      </c>
      <c r="N241" s="11" t="inlineStr">
        <is>
          <t>طوال السنة</t>
        </is>
      </c>
      <c r="O241" s="11" t="inlineStr">
        <is>
          <t>ملامس للغذاء (SFDA)</t>
        </is>
      </c>
      <c r="P241" s="15" t="n">
        <v>0.14</v>
      </c>
      <c r="Q241" s="14" t="n">
        <v>10</v>
      </c>
      <c r="R241" s="14" t="n">
        <v>50</v>
      </c>
      <c r="S241" s="16">
        <f>J241*'الافتراضات'!$B$2*(1+'الافتراضات'!$B$3)</f>
        <v/>
      </c>
      <c r="T241" s="16">
        <f>L241*'الافتراضات'!$B$4</f>
        <v/>
      </c>
      <c r="U241" s="16">
        <f>(S241+T241)*'الافتراضات'!$B$5</f>
        <v/>
      </c>
      <c r="V241" s="16">
        <f>S241+T241+U241</f>
        <v/>
      </c>
      <c r="W241" s="16">
        <f>MAX(1,E241*P241)</f>
        <v/>
      </c>
      <c r="X241" s="16">
        <f>E241*'الافتراضات'!$B$7</f>
        <v/>
      </c>
      <c r="Y241" s="16">
        <f>E241*'الافتراضات'!$B$8</f>
        <v/>
      </c>
      <c r="Z241" s="16">
        <f>E241/(1+'الافتراضات'!$B$6)</f>
        <v/>
      </c>
      <c r="AA241" s="16">
        <f>Z241-V241-W241-Q241-X241-Y241</f>
        <v/>
      </c>
      <c r="AB241" s="17">
        <f>IF(Z241=0,0,AA241/Z241)</f>
        <v/>
      </c>
      <c r="AC241" s="17">
        <f>IF(V241=0,0,AA241/V241)</f>
        <v/>
      </c>
      <c r="AD241" s="18">
        <f>R241*V241</f>
        <v/>
      </c>
      <c r="AE241" s="16">
        <f>IF(AB241&gt;='الافتراضات'!$B$9,IF(O241="لا","ابدأ به","جيد – يحتاج شهادة"),IF(AB241&gt;='الافتراضات'!$B$10,"مقبول","ضعيف"))</f>
        <v/>
      </c>
      <c r="AF241" s="16">
        <f>IF((1-'الافتراضات'!$B$9)/(1+'الافتراضات'!$B$6)-P241-'الافتراضات'!$B$7-'الافتراضات'!$B$8&lt;=0,0,(V241+Q241)/((1-'الافتراضات'!$B$9)/(1+'الافتراضات'!$B$6)-P241-'الافتراضات'!$B$7-'الافتراضات'!$B$8))</f>
        <v/>
      </c>
    </row>
    <row r="242">
      <c r="A242" s="10" t="n">
        <v>241</v>
      </c>
      <c r="B242" s="11" t="inlineStr">
        <is>
          <t>المكتب والدراسة</t>
        </is>
      </c>
      <c r="C242" s="11" t="inlineStr">
        <is>
          <t>بطاقات تعليمية للأطفال</t>
        </is>
      </c>
      <c r="D242" s="11" t="inlineStr">
        <is>
          <t>educational flash cards kids</t>
        </is>
      </c>
      <c r="E242" s="12" t="n">
        <v>25</v>
      </c>
      <c r="F242" s="10" t="inlineStr">
        <is>
          <t>تقدير</t>
        </is>
      </c>
      <c r="G242" s="10" t="inlineStr">
        <is>
          <t>تقدير</t>
        </is>
      </c>
      <c r="H242" s="10" t="inlineStr">
        <is>
          <t>لم تُفحص</t>
        </is>
      </c>
      <c r="I242" s="10" t="inlineStr">
        <is>
          <t>لم يُفحص</t>
        </is>
      </c>
      <c r="J242" s="13" t="n">
        <v>1.5</v>
      </c>
      <c r="K242" s="11" t="inlineStr">
        <is>
          <t>تقدير</t>
        </is>
      </c>
      <c r="L242" s="14" t="n">
        <v>0.25</v>
      </c>
      <c r="M242" s="10" t="inlineStr">
        <is>
          <t>صغير</t>
        </is>
      </c>
      <c r="N242" s="11" t="inlineStr">
        <is>
          <t>العودة للمدارس</t>
        </is>
      </c>
      <c r="O242" s="11" t="inlineStr">
        <is>
          <t>اشتراطات سلامة الألعاب</t>
        </is>
      </c>
      <c r="P242" s="15" t="n">
        <v>0.12</v>
      </c>
      <c r="Q242" s="14" t="n">
        <v>7</v>
      </c>
      <c r="R242" s="14" t="n">
        <v>50</v>
      </c>
      <c r="S242" s="16">
        <f>J242*'الافتراضات'!$B$2*(1+'الافتراضات'!$B$3)</f>
        <v/>
      </c>
      <c r="T242" s="16">
        <f>L242*'الافتراضات'!$B$4</f>
        <v/>
      </c>
      <c r="U242" s="16">
        <f>(S242+T242)*'الافتراضات'!$B$5</f>
        <v/>
      </c>
      <c r="V242" s="16">
        <f>S242+T242+U242</f>
        <v/>
      </c>
      <c r="W242" s="16">
        <f>MAX(1,E242*P242)</f>
        <v/>
      </c>
      <c r="X242" s="16">
        <f>E242*'الافتراضات'!$B$7</f>
        <v/>
      </c>
      <c r="Y242" s="16">
        <f>E242*'الافتراضات'!$B$8</f>
        <v/>
      </c>
      <c r="Z242" s="16">
        <f>E242/(1+'الافتراضات'!$B$6)</f>
        <v/>
      </c>
      <c r="AA242" s="16">
        <f>Z242-V242-W242-Q242-X242-Y242</f>
        <v/>
      </c>
      <c r="AB242" s="17">
        <f>IF(Z242=0,0,AA242/Z242)</f>
        <v/>
      </c>
      <c r="AC242" s="17">
        <f>IF(V242=0,0,AA242/V242)</f>
        <v/>
      </c>
      <c r="AD242" s="18">
        <f>R242*V242</f>
        <v/>
      </c>
      <c r="AE242" s="16">
        <f>IF(AB242&gt;='الافتراضات'!$B$9,IF(O242="لا","ابدأ به","جيد – يحتاج شهادة"),IF(AB242&gt;='الافتراضات'!$B$10,"مقبول","ضعيف"))</f>
        <v/>
      </c>
      <c r="AF242" s="16">
        <f>IF((1-'الافتراضات'!$B$9)/(1+'الافتراضات'!$B$6)-P242-'الافتراضات'!$B$7-'الافتراضات'!$B$8&lt;=0,0,(V242+Q242)/((1-'الافتراضات'!$B$9)/(1+'الافتراضات'!$B$6)-P242-'الافتراضات'!$B$7-'الافتراضات'!$B$8))</f>
        <v/>
      </c>
    </row>
    <row r="243">
      <c r="A243" s="10" t="n">
        <v>242</v>
      </c>
      <c r="B243" s="11" t="inlineStr">
        <is>
          <t>التخييم والسفر</t>
        </is>
      </c>
      <c r="C243" s="11" t="inlineStr">
        <is>
          <t>طاولة تخييم ألمنيوم قابلة للطي</t>
        </is>
      </c>
      <c r="D243" s="11" t="inlineStr">
        <is>
          <t>folding camping table aluminum</t>
        </is>
      </c>
      <c r="E243" s="12" t="n">
        <v>158</v>
      </c>
      <c r="F243" s="10" t="inlineStr">
        <is>
          <t>تقدير</t>
        </is>
      </c>
      <c r="G243" s="10" t="inlineStr">
        <is>
          <t>تقدير</t>
        </is>
      </c>
      <c r="H243" s="10" t="inlineStr">
        <is>
          <t>لم تُفحص</t>
        </is>
      </c>
      <c r="I243" s="10" t="inlineStr">
        <is>
          <t>لم يُفحص</t>
        </is>
      </c>
      <c r="J243" s="13" t="n">
        <v>14</v>
      </c>
      <c r="K243" s="11" t="inlineStr">
        <is>
          <t>تقدير</t>
        </is>
      </c>
      <c r="L243" s="14" t="n">
        <v>2.5</v>
      </c>
      <c r="M243" s="10" t="inlineStr">
        <is>
          <t>كبير</t>
        </is>
      </c>
      <c r="N243" s="11" t="inlineStr">
        <is>
          <t>الشتاء والكشتات</t>
        </is>
      </c>
      <c r="O243" s="11" t="inlineStr">
        <is>
          <t>لا</t>
        </is>
      </c>
      <c r="P243" s="15" t="n">
        <v>0.13</v>
      </c>
      <c r="Q243" s="14" t="n">
        <v>16</v>
      </c>
      <c r="R243" s="14" t="n">
        <v>50</v>
      </c>
      <c r="S243" s="16">
        <f>J243*'الافتراضات'!$B$2*(1+'الافتراضات'!$B$3)</f>
        <v/>
      </c>
      <c r="T243" s="16">
        <f>L243*'الافتراضات'!$B$4</f>
        <v/>
      </c>
      <c r="U243" s="16">
        <f>(S243+T243)*'الافتراضات'!$B$5</f>
        <v/>
      </c>
      <c r="V243" s="16">
        <f>S243+T243+U243</f>
        <v/>
      </c>
      <c r="W243" s="16">
        <f>MAX(1,E243*P243)</f>
        <v/>
      </c>
      <c r="X243" s="16">
        <f>E243*'الافتراضات'!$B$7</f>
        <v/>
      </c>
      <c r="Y243" s="16">
        <f>E243*'الافتراضات'!$B$8</f>
        <v/>
      </c>
      <c r="Z243" s="16">
        <f>E243/(1+'الافتراضات'!$B$6)</f>
        <v/>
      </c>
      <c r="AA243" s="16">
        <f>Z243-V243-W243-Q243-X243-Y243</f>
        <v/>
      </c>
      <c r="AB243" s="17">
        <f>IF(Z243=0,0,AA243/Z243)</f>
        <v/>
      </c>
      <c r="AC243" s="17">
        <f>IF(V243=0,0,AA243/V243)</f>
        <v/>
      </c>
      <c r="AD243" s="18">
        <f>R243*V243</f>
        <v/>
      </c>
      <c r="AE243" s="16">
        <f>IF(AB243&gt;='الافتراضات'!$B$9,IF(O243="لا","ابدأ به","جيد – يحتاج شهادة"),IF(AB243&gt;='الافتراضات'!$B$10,"مقبول","ضعيف"))</f>
        <v/>
      </c>
      <c r="AF243" s="16">
        <f>IF((1-'الافتراضات'!$B$9)/(1+'الافتراضات'!$B$6)-P243-'الافتراضات'!$B$7-'الافتراضات'!$B$8&lt;=0,0,(V243+Q243)/((1-'الافتراضات'!$B$9)/(1+'الافتراضات'!$B$6)-P243-'الافتراضات'!$B$7-'الافتراضات'!$B$8))</f>
        <v/>
      </c>
    </row>
    <row r="244">
      <c r="A244" s="10" t="n">
        <v>243</v>
      </c>
      <c r="B244" s="11" t="inlineStr">
        <is>
          <t>إكسسوارات الجوال والإلكترونيات</t>
        </is>
      </c>
      <c r="C244" s="11" t="inlineStr">
        <is>
          <t>بطاريات AA قابلة للشحن + شاحن</t>
        </is>
      </c>
      <c r="D244" s="11" t="inlineStr">
        <is>
          <t>rechargeable AA batteries charger</t>
        </is>
      </c>
      <c r="E244" s="12" t="n">
        <v>57</v>
      </c>
      <c r="F244" s="10" t="inlineStr">
        <is>
          <t>تقدير</t>
        </is>
      </c>
      <c r="G244" s="10" t="inlineStr">
        <is>
          <t>تقدير</t>
        </is>
      </c>
      <c r="H244" s="10" t="inlineStr">
        <is>
          <t>لم تُفحص</t>
        </is>
      </c>
      <c r="I244" s="10" t="inlineStr">
        <is>
          <t>لم يُفحص</t>
        </is>
      </c>
      <c r="J244" s="13" t="n">
        <v>5</v>
      </c>
      <c r="K244" s="11" t="inlineStr">
        <is>
          <t>تقدير</t>
        </is>
      </c>
      <c r="L244" s="14" t="n">
        <v>0.35</v>
      </c>
      <c r="M244" s="10" t="inlineStr">
        <is>
          <t>صغير</t>
        </is>
      </c>
      <c r="N244" s="11" t="inlineStr">
        <is>
          <t>طوال السنة</t>
        </is>
      </c>
      <c r="O244" s="11" t="inlineStr">
        <is>
          <t>SABER + بطارية ليثيوم</t>
        </is>
      </c>
      <c r="P244" s="15" t="n">
        <v>0.15</v>
      </c>
      <c r="Q244" s="14" t="n">
        <v>9.5</v>
      </c>
      <c r="R244" s="14" t="n">
        <v>50</v>
      </c>
      <c r="S244" s="16">
        <f>J244*'الافتراضات'!$B$2*(1+'الافتراضات'!$B$3)</f>
        <v/>
      </c>
      <c r="T244" s="16">
        <f>L244*'الافتراضات'!$B$4</f>
        <v/>
      </c>
      <c r="U244" s="16">
        <f>(S244+T244)*'الافتراضات'!$B$5</f>
        <v/>
      </c>
      <c r="V244" s="16">
        <f>S244+T244+U244</f>
        <v/>
      </c>
      <c r="W244" s="16">
        <f>MAX(1,E244*P244)</f>
        <v/>
      </c>
      <c r="X244" s="16">
        <f>E244*'الافتراضات'!$B$7</f>
        <v/>
      </c>
      <c r="Y244" s="16">
        <f>E244*'الافتراضات'!$B$8</f>
        <v/>
      </c>
      <c r="Z244" s="16">
        <f>E244/(1+'الافتراضات'!$B$6)</f>
        <v/>
      </c>
      <c r="AA244" s="16">
        <f>Z244-V244-W244-Q244-X244-Y244</f>
        <v/>
      </c>
      <c r="AB244" s="17">
        <f>IF(Z244=0,0,AA244/Z244)</f>
        <v/>
      </c>
      <c r="AC244" s="17">
        <f>IF(V244=0,0,AA244/V244)</f>
        <v/>
      </c>
      <c r="AD244" s="18">
        <f>R244*V244</f>
        <v/>
      </c>
      <c r="AE244" s="16">
        <f>IF(AB244&gt;='الافتراضات'!$B$9,IF(O244="لا","ابدأ به","جيد – يحتاج شهادة"),IF(AB244&gt;='الافتراضات'!$B$10,"مقبول","ضعيف"))</f>
        <v/>
      </c>
      <c r="AF244" s="16">
        <f>IF((1-'الافتراضات'!$B$9)/(1+'الافتراضات'!$B$6)-P244-'الافتراضات'!$B$7-'الافتراضات'!$B$8&lt;=0,0,(V244+Q244)/((1-'الافتراضات'!$B$9)/(1+'الافتراضات'!$B$6)-P244-'الافتراضات'!$B$7-'الافتراضات'!$B$8))</f>
        <v/>
      </c>
    </row>
    <row r="245">
      <c r="A245" s="10" t="n">
        <v>244</v>
      </c>
      <c r="B245" s="11" t="inlineStr">
        <is>
          <t>الرياضة واللياقة</t>
        </is>
      </c>
      <c r="C245" s="11" t="inlineStr">
        <is>
          <t>حزام رفع أثقال</t>
        </is>
      </c>
      <c r="D245" s="11" t="inlineStr">
        <is>
          <t>weight lifting belt</t>
        </is>
      </c>
      <c r="E245" s="12" t="n">
        <v>57</v>
      </c>
      <c r="F245" s="10" t="inlineStr">
        <is>
          <t>تقدير</t>
        </is>
      </c>
      <c r="G245" s="10" t="inlineStr">
        <is>
          <t>تقدير</t>
        </is>
      </c>
      <c r="H245" s="10" t="inlineStr">
        <is>
          <t>لم تُفحص</t>
        </is>
      </c>
      <c r="I245" s="10" t="inlineStr">
        <is>
          <t>لم يُفحص</t>
        </is>
      </c>
      <c r="J245" s="13" t="n">
        <v>5</v>
      </c>
      <c r="K245" s="11" t="inlineStr">
        <is>
          <t>تقدير</t>
        </is>
      </c>
      <c r="L245" s="14" t="n">
        <v>0.5</v>
      </c>
      <c r="M245" s="10" t="inlineStr">
        <is>
          <t>متوسط</t>
        </is>
      </c>
      <c r="N245" s="11" t="inlineStr">
        <is>
          <t>طوال السنة</t>
        </is>
      </c>
      <c r="O245" s="11" t="inlineStr">
        <is>
          <t>لا</t>
        </is>
      </c>
      <c r="P245" s="15" t="n">
        <v>0.13</v>
      </c>
      <c r="Q245" s="14" t="n">
        <v>9.5</v>
      </c>
      <c r="R245" s="14" t="n">
        <v>50</v>
      </c>
      <c r="S245" s="16">
        <f>J245*'الافتراضات'!$B$2*(1+'الافتراضات'!$B$3)</f>
        <v/>
      </c>
      <c r="T245" s="16">
        <f>L245*'الافتراضات'!$B$4</f>
        <v/>
      </c>
      <c r="U245" s="16">
        <f>(S245+T245)*'الافتراضات'!$B$5</f>
        <v/>
      </c>
      <c r="V245" s="16">
        <f>S245+T245+U245</f>
        <v/>
      </c>
      <c r="W245" s="16">
        <f>MAX(1,E245*P245)</f>
        <v/>
      </c>
      <c r="X245" s="16">
        <f>E245*'الافتراضات'!$B$7</f>
        <v/>
      </c>
      <c r="Y245" s="16">
        <f>E245*'الافتراضات'!$B$8</f>
        <v/>
      </c>
      <c r="Z245" s="16">
        <f>E245/(1+'الافتراضات'!$B$6)</f>
        <v/>
      </c>
      <c r="AA245" s="16">
        <f>Z245-V245-W245-Q245-X245-Y245</f>
        <v/>
      </c>
      <c r="AB245" s="17">
        <f>IF(Z245=0,0,AA245/Z245)</f>
        <v/>
      </c>
      <c r="AC245" s="17">
        <f>IF(V245=0,0,AA245/V245)</f>
        <v/>
      </c>
      <c r="AD245" s="18">
        <f>R245*V245</f>
        <v/>
      </c>
      <c r="AE245" s="16">
        <f>IF(AB245&gt;='الافتراضات'!$B$9,IF(O245="لا","ابدأ به","جيد – يحتاج شهادة"),IF(AB245&gt;='الافتراضات'!$B$10,"مقبول","ضعيف"))</f>
        <v/>
      </c>
      <c r="AF245" s="16">
        <f>IF((1-'الافتراضات'!$B$9)/(1+'الافتراضات'!$B$6)-P245-'الافتراضات'!$B$7-'الافتراضات'!$B$8&lt;=0,0,(V245+Q245)/((1-'الافتراضات'!$B$9)/(1+'الافتراضات'!$B$6)-P245-'الافتراضات'!$B$7-'الافتراضات'!$B$8))</f>
        <v/>
      </c>
    </row>
    <row r="246">
      <c r="A246" s="10" t="n">
        <v>245</v>
      </c>
      <c r="B246" s="11" t="inlineStr">
        <is>
          <t>الرياضة واللياقة</t>
        </is>
      </c>
      <c r="C246" s="11" t="inlineStr">
        <is>
          <t>ريشة طائرة مضارب</t>
        </is>
      </c>
      <c r="D246" s="11" t="inlineStr">
        <is>
          <t>badminton racket set</t>
        </is>
      </c>
      <c r="E246" s="12" t="n">
        <v>57</v>
      </c>
      <c r="F246" s="10" t="inlineStr">
        <is>
          <t>تقدير</t>
        </is>
      </c>
      <c r="G246" s="10" t="inlineStr">
        <is>
          <t>تقدير</t>
        </is>
      </c>
      <c r="H246" s="10" t="inlineStr">
        <is>
          <t>لم تُفحص</t>
        </is>
      </c>
      <c r="I246" s="10" t="inlineStr">
        <is>
          <t>لم يُفحص</t>
        </is>
      </c>
      <c r="J246" s="13" t="n">
        <v>5</v>
      </c>
      <c r="K246" s="11" t="inlineStr">
        <is>
          <t>تقدير</t>
        </is>
      </c>
      <c r="L246" s="14" t="n">
        <v>0.5</v>
      </c>
      <c r="M246" s="10" t="inlineStr">
        <is>
          <t>متوسط</t>
        </is>
      </c>
      <c r="N246" s="11" t="inlineStr">
        <is>
          <t>طوال السنة</t>
        </is>
      </c>
      <c r="O246" s="11" t="inlineStr">
        <is>
          <t>لا</t>
        </is>
      </c>
      <c r="P246" s="15" t="n">
        <v>0.13</v>
      </c>
      <c r="Q246" s="14" t="n">
        <v>9.5</v>
      </c>
      <c r="R246" s="14" t="n">
        <v>50</v>
      </c>
      <c r="S246" s="16">
        <f>J246*'الافتراضات'!$B$2*(1+'الافتراضات'!$B$3)</f>
        <v/>
      </c>
      <c r="T246" s="16">
        <f>L246*'الافتراضات'!$B$4</f>
        <v/>
      </c>
      <c r="U246" s="16">
        <f>(S246+T246)*'الافتراضات'!$B$5</f>
        <v/>
      </c>
      <c r="V246" s="16">
        <f>S246+T246+U246</f>
        <v/>
      </c>
      <c r="W246" s="16">
        <f>MAX(1,E246*P246)</f>
        <v/>
      </c>
      <c r="X246" s="16">
        <f>E246*'الافتراضات'!$B$7</f>
        <v/>
      </c>
      <c r="Y246" s="16">
        <f>E246*'الافتراضات'!$B$8</f>
        <v/>
      </c>
      <c r="Z246" s="16">
        <f>E246/(1+'الافتراضات'!$B$6)</f>
        <v/>
      </c>
      <c r="AA246" s="16">
        <f>Z246-V246-W246-Q246-X246-Y246</f>
        <v/>
      </c>
      <c r="AB246" s="17">
        <f>IF(Z246=0,0,AA246/Z246)</f>
        <v/>
      </c>
      <c r="AC246" s="17">
        <f>IF(V246=0,0,AA246/V246)</f>
        <v/>
      </c>
      <c r="AD246" s="18">
        <f>R246*V246</f>
        <v/>
      </c>
      <c r="AE246" s="16">
        <f>IF(AB246&gt;='الافتراضات'!$B$9,IF(O246="لا","ابدأ به","جيد – يحتاج شهادة"),IF(AB246&gt;='الافتراضات'!$B$10,"مقبول","ضعيف"))</f>
        <v/>
      </c>
      <c r="AF246" s="16">
        <f>IF((1-'الافتراضات'!$B$9)/(1+'الافتراضات'!$B$6)-P246-'الافتراضات'!$B$7-'الافتراضات'!$B$8&lt;=0,0,(V246+Q246)/((1-'الافتراضات'!$B$9)/(1+'الافتراضات'!$B$6)-P246-'الافتراضات'!$B$7-'الافتراضات'!$B$8))</f>
        <v/>
      </c>
    </row>
    <row r="247">
      <c r="A247" s="10" t="n">
        <v>246</v>
      </c>
      <c r="B247" s="11" t="inlineStr">
        <is>
          <t>المنزل والمطبخ</t>
        </is>
      </c>
      <c r="C247" s="11" t="inlineStr">
        <is>
          <t>قوالب ثلج كروية</t>
        </is>
      </c>
      <c r="D247" s="11" t="inlineStr">
        <is>
          <t>ice ball maker mold</t>
        </is>
      </c>
      <c r="E247" s="12" t="n">
        <v>25</v>
      </c>
      <c r="F247" s="10" t="inlineStr">
        <is>
          <t>تقدير</t>
        </is>
      </c>
      <c r="G247" s="10" t="inlineStr">
        <is>
          <t>تقدير</t>
        </is>
      </c>
      <c r="H247" s="10" t="inlineStr">
        <is>
          <t>لم تُفحص</t>
        </is>
      </c>
      <c r="I247" s="10" t="inlineStr">
        <is>
          <t>لم يُفحص</t>
        </is>
      </c>
      <c r="J247" s="13" t="n">
        <v>1.2</v>
      </c>
      <c r="K247" s="11" t="inlineStr">
        <is>
          <t>تقدير</t>
        </is>
      </c>
      <c r="L247" s="14" t="n">
        <v>0.3</v>
      </c>
      <c r="M247" s="10" t="inlineStr">
        <is>
          <t>صغير</t>
        </is>
      </c>
      <c r="N247" s="11" t="inlineStr">
        <is>
          <t>طوال السنة</t>
        </is>
      </c>
      <c r="O247" s="11" t="inlineStr">
        <is>
          <t>ملامس للغذاء (SFDA)</t>
        </is>
      </c>
      <c r="P247" s="15" t="n">
        <v>0.14</v>
      </c>
      <c r="Q247" s="14" t="n">
        <v>7.5</v>
      </c>
      <c r="R247" s="14" t="n">
        <v>50</v>
      </c>
      <c r="S247" s="16">
        <f>J247*'الافتراضات'!$B$2*(1+'الافتراضات'!$B$3)</f>
        <v/>
      </c>
      <c r="T247" s="16">
        <f>L247*'الافتراضات'!$B$4</f>
        <v/>
      </c>
      <c r="U247" s="16">
        <f>(S247+T247)*'الافتراضات'!$B$5</f>
        <v/>
      </c>
      <c r="V247" s="16">
        <f>S247+T247+U247</f>
        <v/>
      </c>
      <c r="W247" s="16">
        <f>MAX(1,E247*P247)</f>
        <v/>
      </c>
      <c r="X247" s="16">
        <f>E247*'الافتراضات'!$B$7</f>
        <v/>
      </c>
      <c r="Y247" s="16">
        <f>E247*'الافتراضات'!$B$8</f>
        <v/>
      </c>
      <c r="Z247" s="16">
        <f>E247/(1+'الافتراضات'!$B$6)</f>
        <v/>
      </c>
      <c r="AA247" s="16">
        <f>Z247-V247-W247-Q247-X247-Y247</f>
        <v/>
      </c>
      <c r="AB247" s="17">
        <f>IF(Z247=0,0,AA247/Z247)</f>
        <v/>
      </c>
      <c r="AC247" s="17">
        <f>IF(V247=0,0,AA247/V247)</f>
        <v/>
      </c>
      <c r="AD247" s="18">
        <f>R247*V247</f>
        <v/>
      </c>
      <c r="AE247" s="16">
        <f>IF(AB247&gt;='الافتراضات'!$B$9,IF(O247="لا","ابدأ به","جيد – يحتاج شهادة"),IF(AB247&gt;='الافتراضات'!$B$10,"مقبول","ضعيف"))</f>
        <v/>
      </c>
      <c r="AF247" s="16">
        <f>IF((1-'الافتراضات'!$B$9)/(1+'الافتراضات'!$B$6)-P247-'الافتراضات'!$B$7-'الافتراضات'!$B$8&lt;=0,0,(V247+Q247)/((1-'الافتراضات'!$B$9)/(1+'الافتراضات'!$B$6)-P247-'الافتراضات'!$B$7-'الافتراضات'!$B$8))</f>
        <v/>
      </c>
    </row>
    <row r="248">
      <c r="A248" s="10" t="n">
        <v>247</v>
      </c>
      <c r="B248" s="11" t="inlineStr">
        <is>
          <t>إكسسوارات الجوال والإلكترونيات</t>
        </is>
      </c>
      <c r="C248" s="11" t="inlineStr">
        <is>
          <t>ترمومتر رقمي لقياس الحرارة</t>
        </is>
      </c>
      <c r="D248" s="11" t="inlineStr">
        <is>
          <t>digital forehead thermometer</t>
        </is>
      </c>
      <c r="E248" s="12" t="n">
        <v>45</v>
      </c>
      <c r="F248" s="10" t="inlineStr">
        <is>
          <t>تقدير</t>
        </is>
      </c>
      <c r="G248" s="10" t="inlineStr">
        <is>
          <t>تقدير</t>
        </is>
      </c>
      <c r="H248" s="10" t="inlineStr">
        <is>
          <t>لم تُفحص</t>
        </is>
      </c>
      <c r="I248" s="10" t="inlineStr">
        <is>
          <t>لم يُفحص</t>
        </is>
      </c>
      <c r="J248" s="13" t="n">
        <v>4</v>
      </c>
      <c r="K248" s="11" t="inlineStr">
        <is>
          <t>تقدير</t>
        </is>
      </c>
      <c r="L248" s="14" t="n">
        <v>0.15</v>
      </c>
      <c r="M248" s="10" t="inlineStr">
        <is>
          <t>صغير</t>
        </is>
      </c>
      <c r="N248" s="11" t="inlineStr">
        <is>
          <t>طوال السنة</t>
        </is>
      </c>
      <c r="O248" s="11" t="inlineStr">
        <is>
          <t>تحقق من اللوائح</t>
        </is>
      </c>
      <c r="P248" s="15" t="n">
        <v>0.14</v>
      </c>
      <c r="Q248" s="14" t="n">
        <v>9</v>
      </c>
      <c r="R248" s="14" t="n">
        <v>50</v>
      </c>
      <c r="S248" s="16">
        <f>J248*'الافتراضات'!$B$2*(1+'الافتراضات'!$B$3)</f>
        <v/>
      </c>
      <c r="T248" s="16">
        <f>L248*'الافتراضات'!$B$4</f>
        <v/>
      </c>
      <c r="U248" s="16">
        <f>(S248+T248)*'الافتراضات'!$B$5</f>
        <v/>
      </c>
      <c r="V248" s="16">
        <f>S248+T248+U248</f>
        <v/>
      </c>
      <c r="W248" s="16">
        <f>MAX(1,E248*P248)</f>
        <v/>
      </c>
      <c r="X248" s="16">
        <f>E248*'الافتراضات'!$B$7</f>
        <v/>
      </c>
      <c r="Y248" s="16">
        <f>E248*'الافتراضات'!$B$8</f>
        <v/>
      </c>
      <c r="Z248" s="16">
        <f>E248/(1+'الافتراضات'!$B$6)</f>
        <v/>
      </c>
      <c r="AA248" s="16">
        <f>Z248-V248-W248-Q248-X248-Y248</f>
        <v/>
      </c>
      <c r="AB248" s="17">
        <f>IF(Z248=0,0,AA248/Z248)</f>
        <v/>
      </c>
      <c r="AC248" s="17">
        <f>IF(V248=0,0,AA248/V248)</f>
        <v/>
      </c>
      <c r="AD248" s="18">
        <f>R248*V248</f>
        <v/>
      </c>
      <c r="AE248" s="16">
        <f>IF(AB248&gt;='الافتراضات'!$B$9,IF(O248="لا","ابدأ به","جيد – يحتاج شهادة"),IF(AB248&gt;='الافتراضات'!$B$10,"مقبول","ضعيف"))</f>
        <v/>
      </c>
      <c r="AF248" s="16">
        <f>IF((1-'الافتراضات'!$B$9)/(1+'الافتراضات'!$B$6)-P248-'الافتراضات'!$B$7-'الافتراضات'!$B$8&lt;=0,0,(V248+Q248)/((1-'الافتراضات'!$B$9)/(1+'الافتراضات'!$B$6)-P248-'الافتراضات'!$B$7-'الافتراضات'!$B$8))</f>
        <v/>
      </c>
    </row>
    <row r="249">
      <c r="A249" s="10" t="n">
        <v>248</v>
      </c>
      <c r="B249" s="11" t="inlineStr">
        <is>
          <t>الحقائب والسفر</t>
        </is>
      </c>
      <c r="C249" s="11" t="inlineStr">
        <is>
          <t>محفظة بطاقات RFID</t>
        </is>
      </c>
      <c r="D249" s="11" t="inlineStr">
        <is>
          <t>rfid card holder wallet</t>
        </is>
      </c>
      <c r="E249" s="12" t="n">
        <v>25</v>
      </c>
      <c r="F249" s="10" t="inlineStr">
        <is>
          <t>تقدير</t>
        </is>
      </c>
      <c r="G249" s="10" t="inlineStr">
        <is>
          <t>تقدير</t>
        </is>
      </c>
      <c r="H249" s="10" t="inlineStr">
        <is>
          <t>لم تُفحص</t>
        </is>
      </c>
      <c r="I249" s="10" t="inlineStr">
        <is>
          <t>لم يُفحص</t>
        </is>
      </c>
      <c r="J249" s="13" t="n">
        <v>1.4</v>
      </c>
      <c r="K249" s="11" t="inlineStr">
        <is>
          <t>تقدير</t>
        </is>
      </c>
      <c r="L249" s="14" t="n">
        <v>0.06</v>
      </c>
      <c r="M249" s="10" t="inlineStr">
        <is>
          <t>صغير</t>
        </is>
      </c>
      <c r="N249" s="11" t="inlineStr">
        <is>
          <t>طوال السنة</t>
        </is>
      </c>
      <c r="O249" s="11" t="inlineStr">
        <is>
          <t>لا</t>
        </is>
      </c>
      <c r="P249" s="15" t="n">
        <v>0.25</v>
      </c>
      <c r="Q249" s="14" t="n">
        <v>6</v>
      </c>
      <c r="R249" s="14" t="n">
        <v>50</v>
      </c>
      <c r="S249" s="16">
        <f>J249*'الافتراضات'!$B$2*(1+'الافتراضات'!$B$3)</f>
        <v/>
      </c>
      <c r="T249" s="16">
        <f>L249*'الافتراضات'!$B$4</f>
        <v/>
      </c>
      <c r="U249" s="16">
        <f>(S249+T249)*'الافتراضات'!$B$5</f>
        <v/>
      </c>
      <c r="V249" s="16">
        <f>S249+T249+U249</f>
        <v/>
      </c>
      <c r="W249" s="16">
        <f>MAX(1,E249*P249)</f>
        <v/>
      </c>
      <c r="X249" s="16">
        <f>E249*'الافتراضات'!$B$7</f>
        <v/>
      </c>
      <c r="Y249" s="16">
        <f>E249*'الافتراضات'!$B$8</f>
        <v/>
      </c>
      <c r="Z249" s="16">
        <f>E249/(1+'الافتراضات'!$B$6)</f>
        <v/>
      </c>
      <c r="AA249" s="16">
        <f>Z249-V249-W249-Q249-X249-Y249</f>
        <v/>
      </c>
      <c r="AB249" s="17">
        <f>IF(Z249=0,0,AA249/Z249)</f>
        <v/>
      </c>
      <c r="AC249" s="17">
        <f>IF(V249=0,0,AA249/V249)</f>
        <v/>
      </c>
      <c r="AD249" s="18">
        <f>R249*V249</f>
        <v/>
      </c>
      <c r="AE249" s="16">
        <f>IF(AB249&gt;='الافتراضات'!$B$9,IF(O249="لا","ابدأ به","جيد – يحتاج شهادة"),IF(AB249&gt;='الافتراضات'!$B$10,"مقبول","ضعيف"))</f>
        <v/>
      </c>
      <c r="AF249" s="16">
        <f>IF((1-'الافتراضات'!$B$9)/(1+'الافتراضات'!$B$6)-P249-'الافتراضات'!$B$7-'الافتراضات'!$B$8&lt;=0,0,(V249+Q249)/((1-'الافتراضات'!$B$9)/(1+'الافتراضات'!$B$6)-P249-'الافتراضات'!$B$7-'الافتراضات'!$B$8))</f>
        <v/>
      </c>
    </row>
    <row r="250">
      <c r="A250" s="10" t="n">
        <v>249</v>
      </c>
      <c r="B250" s="11" t="inlineStr">
        <is>
          <t>الأدوات والصيانة</t>
        </is>
      </c>
      <c r="C250" s="11" t="inlineStr">
        <is>
          <t>طقم مفكات دقيقة 115 قطعة</t>
        </is>
      </c>
      <c r="D250" s="11" t="inlineStr">
        <is>
          <t>precision screwdriver set 115 in 1</t>
        </is>
      </c>
      <c r="E250" s="12" t="n">
        <v>68</v>
      </c>
      <c r="F250" s="10" t="inlineStr">
        <is>
          <t>تقدير</t>
        </is>
      </c>
      <c r="G250" s="10" t="inlineStr">
        <is>
          <t>تقدير</t>
        </is>
      </c>
      <c r="H250" s="10" t="inlineStr">
        <is>
          <t>لم تُفحص</t>
        </is>
      </c>
      <c r="I250" s="10" t="inlineStr">
        <is>
          <t>لم يُفحص</t>
        </is>
      </c>
      <c r="J250" s="13" t="n">
        <v>6</v>
      </c>
      <c r="K250" s="11" t="inlineStr">
        <is>
          <t>تقدير</t>
        </is>
      </c>
      <c r="L250" s="14" t="n">
        <v>0.7</v>
      </c>
      <c r="M250" s="10" t="inlineStr">
        <is>
          <t>متوسط</t>
        </is>
      </c>
      <c r="N250" s="11" t="inlineStr">
        <is>
          <t>طوال السنة</t>
        </is>
      </c>
      <c r="O250" s="11" t="inlineStr">
        <is>
          <t>لا</t>
        </is>
      </c>
      <c r="P250" s="15" t="n">
        <v>0.14</v>
      </c>
      <c r="Q250" s="14" t="n">
        <v>10</v>
      </c>
      <c r="R250" s="14" t="n">
        <v>50</v>
      </c>
      <c r="S250" s="16">
        <f>J250*'الافتراضات'!$B$2*(1+'الافتراضات'!$B$3)</f>
        <v/>
      </c>
      <c r="T250" s="16">
        <f>L250*'الافتراضات'!$B$4</f>
        <v/>
      </c>
      <c r="U250" s="16">
        <f>(S250+T250)*'الافتراضات'!$B$5</f>
        <v/>
      </c>
      <c r="V250" s="16">
        <f>S250+T250+U250</f>
        <v/>
      </c>
      <c r="W250" s="16">
        <f>MAX(1,E250*P250)</f>
        <v/>
      </c>
      <c r="X250" s="16">
        <f>E250*'الافتراضات'!$B$7</f>
        <v/>
      </c>
      <c r="Y250" s="16">
        <f>E250*'الافتراضات'!$B$8</f>
        <v/>
      </c>
      <c r="Z250" s="16">
        <f>E250/(1+'الافتراضات'!$B$6)</f>
        <v/>
      </c>
      <c r="AA250" s="16">
        <f>Z250-V250-W250-Q250-X250-Y250</f>
        <v/>
      </c>
      <c r="AB250" s="17">
        <f>IF(Z250=0,0,AA250/Z250)</f>
        <v/>
      </c>
      <c r="AC250" s="17">
        <f>IF(V250=0,0,AA250/V250)</f>
        <v/>
      </c>
      <c r="AD250" s="18">
        <f>R250*V250</f>
        <v/>
      </c>
      <c r="AE250" s="16">
        <f>IF(AB250&gt;='الافتراضات'!$B$9,IF(O250="لا","ابدأ به","جيد – يحتاج شهادة"),IF(AB250&gt;='الافتراضات'!$B$10,"مقبول","ضعيف"))</f>
        <v/>
      </c>
      <c r="AF250" s="16">
        <f>IF((1-'الافتراضات'!$B$9)/(1+'الافتراضات'!$B$6)-P250-'الافتراضات'!$B$7-'الافتراضات'!$B$8&lt;=0,0,(V250+Q250)/((1-'الافتراضات'!$B$9)/(1+'الافتراضات'!$B$6)-P250-'الافتراضات'!$B$7-'الافتراضات'!$B$8))</f>
        <v/>
      </c>
    </row>
    <row r="251">
      <c r="A251" s="10" t="n">
        <v>250</v>
      </c>
      <c r="B251" s="11" t="inlineStr">
        <is>
          <t>المنزل والمطبخ</t>
        </is>
      </c>
      <c r="C251" s="11" t="inlineStr">
        <is>
          <t>ساعة حائط رقمية</t>
        </is>
      </c>
      <c r="D251" s="11" t="inlineStr">
        <is>
          <t>digital wall clock calendar</t>
        </is>
      </c>
      <c r="E251" s="12" t="n">
        <v>68</v>
      </c>
      <c r="F251" s="10" t="inlineStr">
        <is>
          <t>تقدير</t>
        </is>
      </c>
      <c r="G251" s="10" t="inlineStr">
        <is>
          <t>تقدير</t>
        </is>
      </c>
      <c r="H251" s="10" t="inlineStr">
        <is>
          <t>لم تُفحص</t>
        </is>
      </c>
      <c r="I251" s="10" t="inlineStr">
        <is>
          <t>لم يُفحص</t>
        </is>
      </c>
      <c r="J251" s="13" t="n">
        <v>6</v>
      </c>
      <c r="K251" s="11" t="inlineStr">
        <is>
          <t>تقدير</t>
        </is>
      </c>
      <c r="L251" s="14" t="n">
        <v>0.7</v>
      </c>
      <c r="M251" s="10" t="inlineStr">
        <is>
          <t>متوسط</t>
        </is>
      </c>
      <c r="N251" s="11" t="inlineStr">
        <is>
          <t>طوال السنة</t>
        </is>
      </c>
      <c r="O251" s="11" t="inlineStr">
        <is>
          <t>SABER + بطارية ليثيوم</t>
        </is>
      </c>
      <c r="P251" s="15" t="n">
        <v>0.14</v>
      </c>
      <c r="Q251" s="14" t="n">
        <v>10</v>
      </c>
      <c r="R251" s="14" t="n">
        <v>50</v>
      </c>
      <c r="S251" s="16">
        <f>J251*'الافتراضات'!$B$2*(1+'الافتراضات'!$B$3)</f>
        <v/>
      </c>
      <c r="T251" s="16">
        <f>L251*'الافتراضات'!$B$4</f>
        <v/>
      </c>
      <c r="U251" s="16">
        <f>(S251+T251)*'الافتراضات'!$B$5</f>
        <v/>
      </c>
      <c r="V251" s="16">
        <f>S251+T251+U251</f>
        <v/>
      </c>
      <c r="W251" s="16">
        <f>MAX(1,E251*P251)</f>
        <v/>
      </c>
      <c r="X251" s="16">
        <f>E251*'الافتراضات'!$B$7</f>
        <v/>
      </c>
      <c r="Y251" s="16">
        <f>E251*'الافتراضات'!$B$8</f>
        <v/>
      </c>
      <c r="Z251" s="16">
        <f>E251/(1+'الافتراضات'!$B$6)</f>
        <v/>
      </c>
      <c r="AA251" s="16">
        <f>Z251-V251-W251-Q251-X251-Y251</f>
        <v/>
      </c>
      <c r="AB251" s="17">
        <f>IF(Z251=0,0,AA251/Z251)</f>
        <v/>
      </c>
      <c r="AC251" s="17">
        <f>IF(V251=0,0,AA251/V251)</f>
        <v/>
      </c>
      <c r="AD251" s="18">
        <f>R251*V251</f>
        <v/>
      </c>
      <c r="AE251" s="16">
        <f>IF(AB251&gt;='الافتراضات'!$B$9,IF(O251="لا","ابدأ به","جيد – يحتاج شهادة"),IF(AB251&gt;='الافتراضات'!$B$10,"مقبول","ضعيف"))</f>
        <v/>
      </c>
      <c r="AF251" s="16">
        <f>IF((1-'الافتراضات'!$B$9)/(1+'الافتراضات'!$B$6)-P251-'الافتراضات'!$B$7-'الافتراضات'!$B$8&lt;=0,0,(V251+Q251)/((1-'الافتراضات'!$B$9)/(1+'الافتراضات'!$B$6)-P251-'الافتراضات'!$B$7-'الافتراضات'!$B$8))</f>
        <v/>
      </c>
    </row>
    <row r="252">
      <c r="A252" s="10" t="n">
        <v>251</v>
      </c>
      <c r="B252" s="11" t="inlineStr">
        <is>
          <t>التخييم والسفر</t>
        </is>
      </c>
      <c r="C252" s="11" t="inlineStr">
        <is>
          <t>كرسي تخييم خفيف قابل للطي</t>
        </is>
      </c>
      <c r="D252" s="11" t="inlineStr">
        <is>
          <t>ultralight folding camping chair</t>
        </is>
      </c>
      <c r="E252" s="12" t="n">
        <v>91</v>
      </c>
      <c r="F252" s="10" t="inlineStr">
        <is>
          <t>تقدير</t>
        </is>
      </c>
      <c r="G252" s="10" t="inlineStr">
        <is>
          <t>تقدير</t>
        </is>
      </c>
      <c r="H252" s="10" t="inlineStr">
        <is>
          <t>لم تُفحص</t>
        </is>
      </c>
      <c r="I252" s="10" t="inlineStr">
        <is>
          <t>لم يُفحص</t>
        </is>
      </c>
      <c r="J252" s="13" t="n">
        <v>8</v>
      </c>
      <c r="K252" s="11" t="inlineStr">
        <is>
          <t>تقدير</t>
        </is>
      </c>
      <c r="L252" s="14" t="n">
        <v>1.3</v>
      </c>
      <c r="M252" s="10" t="inlineStr">
        <is>
          <t>متوسط</t>
        </is>
      </c>
      <c r="N252" s="11" t="inlineStr">
        <is>
          <t>الشتاء والكشتات</t>
        </is>
      </c>
      <c r="O252" s="11" t="inlineStr">
        <is>
          <t>لا</t>
        </is>
      </c>
      <c r="P252" s="15" t="n">
        <v>0.13</v>
      </c>
      <c r="Q252" s="14" t="n">
        <v>11.5</v>
      </c>
      <c r="R252" s="14" t="n">
        <v>50</v>
      </c>
      <c r="S252" s="16">
        <f>J252*'الافتراضات'!$B$2*(1+'الافتراضات'!$B$3)</f>
        <v/>
      </c>
      <c r="T252" s="16">
        <f>L252*'الافتراضات'!$B$4</f>
        <v/>
      </c>
      <c r="U252" s="16">
        <f>(S252+T252)*'الافتراضات'!$B$5</f>
        <v/>
      </c>
      <c r="V252" s="16">
        <f>S252+T252+U252</f>
        <v/>
      </c>
      <c r="W252" s="16">
        <f>MAX(1,E252*P252)</f>
        <v/>
      </c>
      <c r="X252" s="16">
        <f>E252*'الافتراضات'!$B$7</f>
        <v/>
      </c>
      <c r="Y252" s="16">
        <f>E252*'الافتراضات'!$B$8</f>
        <v/>
      </c>
      <c r="Z252" s="16">
        <f>E252/(1+'الافتراضات'!$B$6)</f>
        <v/>
      </c>
      <c r="AA252" s="16">
        <f>Z252-V252-W252-Q252-X252-Y252</f>
        <v/>
      </c>
      <c r="AB252" s="17">
        <f>IF(Z252=0,0,AA252/Z252)</f>
        <v/>
      </c>
      <c r="AC252" s="17">
        <f>IF(V252=0,0,AA252/V252)</f>
        <v/>
      </c>
      <c r="AD252" s="18">
        <f>R252*V252</f>
        <v/>
      </c>
      <c r="AE252" s="16">
        <f>IF(AB252&gt;='الافتراضات'!$B$9,IF(O252="لا","ابدأ به","جيد – يحتاج شهادة"),IF(AB252&gt;='الافتراضات'!$B$10,"مقبول","ضعيف"))</f>
        <v/>
      </c>
      <c r="AF252" s="16">
        <f>IF((1-'الافتراضات'!$B$9)/(1+'الافتراضات'!$B$6)-P252-'الافتراضات'!$B$7-'الافتراضات'!$B$8&lt;=0,0,(V252+Q252)/((1-'الافتراضات'!$B$9)/(1+'الافتراضات'!$B$6)-P252-'الافتراضات'!$B$7-'الافتراضات'!$B$8))</f>
        <v/>
      </c>
    </row>
    <row r="253">
      <c r="A253" s="10" t="n">
        <v>252</v>
      </c>
      <c r="B253" s="11" t="inlineStr">
        <is>
          <t>إكسسوارات الجوال والإلكترونيات</t>
        </is>
      </c>
      <c r="C253" s="11" t="inlineStr">
        <is>
          <t>نظارة واقع افتراضي للجوال</t>
        </is>
      </c>
      <c r="D253" s="11" t="inlineStr">
        <is>
          <t>VR headset smartphone</t>
        </is>
      </c>
      <c r="E253" s="12" t="n">
        <v>79</v>
      </c>
      <c r="F253" s="10" t="inlineStr">
        <is>
          <t>تقدير</t>
        </is>
      </c>
      <c r="G253" s="10" t="inlineStr">
        <is>
          <t>تقدير</t>
        </is>
      </c>
      <c r="H253" s="10" t="inlineStr">
        <is>
          <t>لم تُفحص</t>
        </is>
      </c>
      <c r="I253" s="10" t="inlineStr">
        <is>
          <t>لم يُفحص</t>
        </is>
      </c>
      <c r="J253" s="13" t="n">
        <v>7</v>
      </c>
      <c r="K253" s="11" t="inlineStr">
        <is>
          <t>تقدير</t>
        </is>
      </c>
      <c r="L253" s="14" t="n">
        <v>0.5</v>
      </c>
      <c r="M253" s="10" t="inlineStr">
        <is>
          <t>متوسط</t>
        </is>
      </c>
      <c r="N253" s="11" t="inlineStr">
        <is>
          <t>طوال السنة</t>
        </is>
      </c>
      <c r="O253" s="11" t="inlineStr">
        <is>
          <t>لا</t>
        </is>
      </c>
      <c r="P253" s="15" t="n">
        <v>0.2</v>
      </c>
      <c r="Q253" s="14" t="n">
        <v>9.5</v>
      </c>
      <c r="R253" s="14" t="n">
        <v>50</v>
      </c>
      <c r="S253" s="16">
        <f>J253*'الافتراضات'!$B$2*(1+'الافتراضات'!$B$3)</f>
        <v/>
      </c>
      <c r="T253" s="16">
        <f>L253*'الافتراضات'!$B$4</f>
        <v/>
      </c>
      <c r="U253" s="16">
        <f>(S253+T253)*'الافتراضات'!$B$5</f>
        <v/>
      </c>
      <c r="V253" s="16">
        <f>S253+T253+U253</f>
        <v/>
      </c>
      <c r="W253" s="16">
        <f>MAX(1,E253*P253)</f>
        <v/>
      </c>
      <c r="X253" s="16">
        <f>E253*'الافتراضات'!$B$7</f>
        <v/>
      </c>
      <c r="Y253" s="16">
        <f>E253*'الافتراضات'!$B$8</f>
        <v/>
      </c>
      <c r="Z253" s="16">
        <f>E253/(1+'الافتراضات'!$B$6)</f>
        <v/>
      </c>
      <c r="AA253" s="16">
        <f>Z253-V253-W253-Q253-X253-Y253</f>
        <v/>
      </c>
      <c r="AB253" s="17">
        <f>IF(Z253=0,0,AA253/Z253)</f>
        <v/>
      </c>
      <c r="AC253" s="17">
        <f>IF(V253=0,0,AA253/V253)</f>
        <v/>
      </c>
      <c r="AD253" s="18">
        <f>R253*V253</f>
        <v/>
      </c>
      <c r="AE253" s="16">
        <f>IF(AB253&gt;='الافتراضات'!$B$9,IF(O253="لا","ابدأ به","جيد – يحتاج شهادة"),IF(AB253&gt;='الافتراضات'!$B$10,"مقبول","ضعيف"))</f>
        <v/>
      </c>
      <c r="AF253" s="16">
        <f>IF((1-'الافتراضات'!$B$9)/(1+'الافتراضات'!$B$6)-P253-'الافتراضات'!$B$7-'الافتراضات'!$B$8&lt;=0,0,(V253+Q253)/((1-'الافتراضات'!$B$9)/(1+'الافتراضات'!$B$6)-P253-'الافتراضات'!$B$7-'الافتراضات'!$B$8))</f>
        <v/>
      </c>
    </row>
    <row r="254">
      <c r="A254" s="10" t="n">
        <v>253</v>
      </c>
      <c r="B254" s="11" t="inlineStr">
        <is>
          <t>الأطفال والألعاب</t>
        </is>
      </c>
      <c r="C254" s="11" t="inlineStr">
        <is>
          <t>سكوتر أطفال</t>
        </is>
      </c>
      <c r="D254" s="11" t="inlineStr">
        <is>
          <t>kids scooter 3 wheel</t>
        </is>
      </c>
      <c r="E254" s="12" t="n">
        <v>158</v>
      </c>
      <c r="F254" s="10" t="inlineStr">
        <is>
          <t>تقدير</t>
        </is>
      </c>
      <c r="G254" s="10" t="inlineStr">
        <is>
          <t>تقدير</t>
        </is>
      </c>
      <c r="H254" s="10" t="inlineStr">
        <is>
          <t>لم تُفحص</t>
        </is>
      </c>
      <c r="I254" s="10" t="inlineStr">
        <is>
          <t>لم يُفحص</t>
        </is>
      </c>
      <c r="J254" s="13" t="n">
        <v>14</v>
      </c>
      <c r="K254" s="11" t="inlineStr">
        <is>
          <t>تقدير</t>
        </is>
      </c>
      <c r="L254" s="14" t="n">
        <v>2.5</v>
      </c>
      <c r="M254" s="10" t="inlineStr">
        <is>
          <t>كبير</t>
        </is>
      </c>
      <c r="N254" s="11" t="inlineStr">
        <is>
          <t>طوال السنة</t>
        </is>
      </c>
      <c r="O254" s="11" t="inlineStr">
        <is>
          <t>تحقق من اللوائح</t>
        </is>
      </c>
      <c r="P254" s="15" t="n">
        <v>0.14</v>
      </c>
      <c r="Q254" s="14" t="n">
        <v>16</v>
      </c>
      <c r="R254" s="14" t="n">
        <v>50</v>
      </c>
      <c r="S254" s="16">
        <f>J254*'الافتراضات'!$B$2*(1+'الافتراضات'!$B$3)</f>
        <v/>
      </c>
      <c r="T254" s="16">
        <f>L254*'الافتراضات'!$B$4</f>
        <v/>
      </c>
      <c r="U254" s="16">
        <f>(S254+T254)*'الافتراضات'!$B$5</f>
        <v/>
      </c>
      <c r="V254" s="16">
        <f>S254+T254+U254</f>
        <v/>
      </c>
      <c r="W254" s="16">
        <f>MAX(1,E254*P254)</f>
        <v/>
      </c>
      <c r="X254" s="16">
        <f>E254*'الافتراضات'!$B$7</f>
        <v/>
      </c>
      <c r="Y254" s="16">
        <f>E254*'الافتراضات'!$B$8</f>
        <v/>
      </c>
      <c r="Z254" s="16">
        <f>E254/(1+'الافتراضات'!$B$6)</f>
        <v/>
      </c>
      <c r="AA254" s="16">
        <f>Z254-V254-W254-Q254-X254-Y254</f>
        <v/>
      </c>
      <c r="AB254" s="17">
        <f>IF(Z254=0,0,AA254/Z254)</f>
        <v/>
      </c>
      <c r="AC254" s="17">
        <f>IF(V254=0,0,AA254/V254)</f>
        <v/>
      </c>
      <c r="AD254" s="18">
        <f>R254*V254</f>
        <v/>
      </c>
      <c r="AE254" s="16">
        <f>IF(AB254&gt;='الافتراضات'!$B$9,IF(O254="لا","ابدأ به","جيد – يحتاج شهادة"),IF(AB254&gt;='الافتراضات'!$B$10,"مقبول","ضعيف"))</f>
        <v/>
      </c>
      <c r="AF254" s="16">
        <f>IF((1-'الافتراضات'!$B$9)/(1+'الافتراضات'!$B$6)-P254-'الافتراضات'!$B$7-'الافتراضات'!$B$8&lt;=0,0,(V254+Q254)/((1-'الافتراضات'!$B$9)/(1+'الافتراضات'!$B$6)-P254-'الافتراضات'!$B$7-'الافتراضات'!$B$8))</f>
        <v/>
      </c>
    </row>
    <row r="255">
      <c r="A255" s="10" t="n">
        <v>254</v>
      </c>
      <c r="B255" s="11" t="inlineStr">
        <is>
          <t>الأطفال والألعاب</t>
        </is>
      </c>
      <c r="C255" s="11" t="inlineStr">
        <is>
          <t>لعبة قطار كهربائي</t>
        </is>
      </c>
      <c r="D255" s="11" t="inlineStr">
        <is>
          <t>electric train set toy</t>
        </is>
      </c>
      <c r="E255" s="12" t="n">
        <v>91</v>
      </c>
      <c r="F255" s="10" t="inlineStr">
        <is>
          <t>تقدير</t>
        </is>
      </c>
      <c r="G255" s="10" t="inlineStr">
        <is>
          <t>تقدير</t>
        </is>
      </c>
      <c r="H255" s="10" t="inlineStr">
        <is>
          <t>لم تُفحص</t>
        </is>
      </c>
      <c r="I255" s="10" t="inlineStr">
        <is>
          <t>لم يُفحص</t>
        </is>
      </c>
      <c r="J255" s="13" t="n">
        <v>8</v>
      </c>
      <c r="K255" s="11" t="inlineStr">
        <is>
          <t>تقدير</t>
        </is>
      </c>
      <c r="L255" s="14" t="n">
        <v>1.2</v>
      </c>
      <c r="M255" s="10" t="inlineStr">
        <is>
          <t>متوسط</t>
        </is>
      </c>
      <c r="N255" s="11" t="inlineStr">
        <is>
          <t>طوال السنة</t>
        </is>
      </c>
      <c r="O255" s="11" t="inlineStr">
        <is>
          <t>اشتراطات سلامة الألعاب</t>
        </is>
      </c>
      <c r="P255" s="15" t="n">
        <v>0.14</v>
      </c>
      <c r="Q255" s="14" t="n">
        <v>11.5</v>
      </c>
      <c r="R255" s="14" t="n">
        <v>50</v>
      </c>
      <c r="S255" s="16">
        <f>J255*'الافتراضات'!$B$2*(1+'الافتراضات'!$B$3)</f>
        <v/>
      </c>
      <c r="T255" s="16">
        <f>L255*'الافتراضات'!$B$4</f>
        <v/>
      </c>
      <c r="U255" s="16">
        <f>(S255+T255)*'الافتراضات'!$B$5</f>
        <v/>
      </c>
      <c r="V255" s="16">
        <f>S255+T255+U255</f>
        <v/>
      </c>
      <c r="W255" s="16">
        <f>MAX(1,E255*P255)</f>
        <v/>
      </c>
      <c r="X255" s="16">
        <f>E255*'الافتراضات'!$B$7</f>
        <v/>
      </c>
      <c r="Y255" s="16">
        <f>E255*'الافتراضات'!$B$8</f>
        <v/>
      </c>
      <c r="Z255" s="16">
        <f>E255/(1+'الافتراضات'!$B$6)</f>
        <v/>
      </c>
      <c r="AA255" s="16">
        <f>Z255-V255-W255-Q255-X255-Y255</f>
        <v/>
      </c>
      <c r="AB255" s="17">
        <f>IF(Z255=0,0,AA255/Z255)</f>
        <v/>
      </c>
      <c r="AC255" s="17">
        <f>IF(V255=0,0,AA255/V255)</f>
        <v/>
      </c>
      <c r="AD255" s="18">
        <f>R255*V255</f>
        <v/>
      </c>
      <c r="AE255" s="16">
        <f>IF(AB255&gt;='الافتراضات'!$B$9,IF(O255="لا","ابدأ به","جيد – يحتاج شهادة"),IF(AB255&gt;='الافتراضات'!$B$10,"مقبول","ضعيف"))</f>
        <v/>
      </c>
      <c r="AF255" s="16">
        <f>IF((1-'الافتراضات'!$B$9)/(1+'الافتراضات'!$B$6)-P255-'الافتراضات'!$B$7-'الافتراضات'!$B$8&lt;=0,0,(V255+Q255)/((1-'الافتراضات'!$B$9)/(1+'الافتراضات'!$B$6)-P255-'الافتراضات'!$B$7-'الافتراضات'!$B$8))</f>
        <v/>
      </c>
    </row>
    <row r="256">
      <c r="A256" s="10" t="n">
        <v>255</v>
      </c>
      <c r="B256" s="11" t="inlineStr">
        <is>
          <t>الأدوات والصيانة</t>
        </is>
      </c>
      <c r="C256" s="11" t="inlineStr">
        <is>
          <t>مضخة مياه غاطسة</t>
        </is>
      </c>
      <c r="D256" s="11" t="inlineStr">
        <is>
          <t>submersible water pump</t>
        </is>
      </c>
      <c r="E256" s="12" t="n">
        <v>91</v>
      </c>
      <c r="F256" s="10" t="inlineStr">
        <is>
          <t>تقدير</t>
        </is>
      </c>
      <c r="G256" s="10" t="inlineStr">
        <is>
          <t>تقدير</t>
        </is>
      </c>
      <c r="H256" s="10" t="inlineStr">
        <is>
          <t>لم تُفحص</t>
        </is>
      </c>
      <c r="I256" s="10" t="inlineStr">
        <is>
          <t>لم يُفحص</t>
        </is>
      </c>
      <c r="J256" s="13" t="n">
        <v>8</v>
      </c>
      <c r="K256" s="11" t="inlineStr">
        <is>
          <t>تقدير</t>
        </is>
      </c>
      <c r="L256" s="14" t="n">
        <v>1.2</v>
      </c>
      <c r="M256" s="10" t="inlineStr">
        <is>
          <t>متوسط</t>
        </is>
      </c>
      <c r="N256" s="11" t="inlineStr">
        <is>
          <t>طوال السنة</t>
        </is>
      </c>
      <c r="O256" s="11" t="inlineStr">
        <is>
          <t>SABER</t>
        </is>
      </c>
      <c r="P256" s="15" t="n">
        <v>0.14</v>
      </c>
      <c r="Q256" s="14" t="n">
        <v>11.5</v>
      </c>
      <c r="R256" s="14" t="n">
        <v>50</v>
      </c>
      <c r="S256" s="16">
        <f>J256*'الافتراضات'!$B$2*(1+'الافتراضات'!$B$3)</f>
        <v/>
      </c>
      <c r="T256" s="16">
        <f>L256*'الافتراضات'!$B$4</f>
        <v/>
      </c>
      <c r="U256" s="16">
        <f>(S256+T256)*'الافتراضات'!$B$5</f>
        <v/>
      </c>
      <c r="V256" s="16">
        <f>S256+T256+U256</f>
        <v/>
      </c>
      <c r="W256" s="16">
        <f>MAX(1,E256*P256)</f>
        <v/>
      </c>
      <c r="X256" s="16">
        <f>E256*'الافتراضات'!$B$7</f>
        <v/>
      </c>
      <c r="Y256" s="16">
        <f>E256*'الافتراضات'!$B$8</f>
        <v/>
      </c>
      <c r="Z256" s="16">
        <f>E256/(1+'الافتراضات'!$B$6)</f>
        <v/>
      </c>
      <c r="AA256" s="16">
        <f>Z256-V256-W256-Q256-X256-Y256</f>
        <v/>
      </c>
      <c r="AB256" s="17">
        <f>IF(Z256=0,0,AA256/Z256)</f>
        <v/>
      </c>
      <c r="AC256" s="17">
        <f>IF(V256=0,0,AA256/V256)</f>
        <v/>
      </c>
      <c r="AD256" s="18">
        <f>R256*V256</f>
        <v/>
      </c>
      <c r="AE256" s="16">
        <f>IF(AB256&gt;='الافتراضات'!$B$9,IF(O256="لا","ابدأ به","جيد – يحتاج شهادة"),IF(AB256&gt;='الافتراضات'!$B$10,"مقبول","ضعيف"))</f>
        <v/>
      </c>
      <c r="AF256" s="16">
        <f>IF((1-'الافتراضات'!$B$9)/(1+'الافتراضات'!$B$6)-P256-'الافتراضات'!$B$7-'الافتراضات'!$B$8&lt;=0,0,(V256+Q256)/((1-'الافتراضات'!$B$9)/(1+'الافتراضات'!$B$6)-P256-'الافتراضات'!$B$7-'الافتراضات'!$B$8))</f>
        <v/>
      </c>
    </row>
    <row r="257">
      <c r="A257" s="10" t="n">
        <v>256</v>
      </c>
      <c r="B257" s="11" t="inlineStr">
        <is>
          <t>التخييم والسفر</t>
        </is>
      </c>
      <c r="C257" s="11" t="inlineStr">
        <is>
          <t>فراش نفخ للتخييم</t>
        </is>
      </c>
      <c r="D257" s="11" t="inlineStr">
        <is>
          <t>inflatable camping mattress</t>
        </is>
      </c>
      <c r="E257" s="12" t="n">
        <v>102</v>
      </c>
      <c r="F257" s="10" t="inlineStr">
        <is>
          <t>تقدير</t>
        </is>
      </c>
      <c r="G257" s="10" t="inlineStr">
        <is>
          <t>تقدير</t>
        </is>
      </c>
      <c r="H257" s="10" t="inlineStr">
        <is>
          <t>لم تُفحص</t>
        </is>
      </c>
      <c r="I257" s="10" t="inlineStr">
        <is>
          <t>لم يُفحص</t>
        </is>
      </c>
      <c r="J257" s="13" t="n">
        <v>9</v>
      </c>
      <c r="K257" s="11" t="inlineStr">
        <is>
          <t>تقدير</t>
        </is>
      </c>
      <c r="L257" s="14" t="n">
        <v>1.2</v>
      </c>
      <c r="M257" s="10" t="inlineStr">
        <is>
          <t>كبير</t>
        </is>
      </c>
      <c r="N257" s="11" t="inlineStr">
        <is>
          <t>الشتاء والكشتات</t>
        </is>
      </c>
      <c r="O257" s="11" t="inlineStr">
        <is>
          <t>لا</t>
        </is>
      </c>
      <c r="P257" s="15" t="n">
        <v>0.13</v>
      </c>
      <c r="Q257" s="14" t="n">
        <v>15</v>
      </c>
      <c r="R257" s="14" t="n">
        <v>50</v>
      </c>
      <c r="S257" s="16">
        <f>J257*'الافتراضات'!$B$2*(1+'الافتراضات'!$B$3)</f>
        <v/>
      </c>
      <c r="T257" s="16">
        <f>L257*'الافتراضات'!$B$4</f>
        <v/>
      </c>
      <c r="U257" s="16">
        <f>(S257+T257)*'الافتراضات'!$B$5</f>
        <v/>
      </c>
      <c r="V257" s="16">
        <f>S257+T257+U257</f>
        <v/>
      </c>
      <c r="W257" s="16">
        <f>MAX(1,E257*P257)</f>
        <v/>
      </c>
      <c r="X257" s="16">
        <f>E257*'الافتراضات'!$B$7</f>
        <v/>
      </c>
      <c r="Y257" s="16">
        <f>E257*'الافتراضات'!$B$8</f>
        <v/>
      </c>
      <c r="Z257" s="16">
        <f>E257/(1+'الافتراضات'!$B$6)</f>
        <v/>
      </c>
      <c r="AA257" s="16">
        <f>Z257-V257-W257-Q257-X257-Y257</f>
        <v/>
      </c>
      <c r="AB257" s="17">
        <f>IF(Z257=0,0,AA257/Z257)</f>
        <v/>
      </c>
      <c r="AC257" s="17">
        <f>IF(V257=0,0,AA257/V257)</f>
        <v/>
      </c>
      <c r="AD257" s="18">
        <f>R257*V257</f>
        <v/>
      </c>
      <c r="AE257" s="16">
        <f>IF(AB257&gt;='الافتراضات'!$B$9,IF(O257="لا","ابدأ به","جيد – يحتاج شهادة"),IF(AB257&gt;='الافتراضات'!$B$10,"مقبول","ضعيف"))</f>
        <v/>
      </c>
      <c r="AF257" s="16">
        <f>IF((1-'الافتراضات'!$B$9)/(1+'الافتراضات'!$B$6)-P257-'الافتراضات'!$B$7-'الافتراضات'!$B$8&lt;=0,0,(V257+Q257)/((1-'الافتراضات'!$B$9)/(1+'الافتراضات'!$B$6)-P257-'الافتراضات'!$B$7-'الافتراضات'!$B$8))</f>
        <v/>
      </c>
    </row>
    <row r="258">
      <c r="A258" s="10" t="n">
        <v>257</v>
      </c>
      <c r="B258" s="11" t="inlineStr">
        <is>
          <t>المنزل والمطبخ</t>
        </is>
      </c>
      <c r="C258" s="11" t="inlineStr">
        <is>
          <t>مروحة برج</t>
        </is>
      </c>
      <c r="D258" s="11" t="inlineStr">
        <is>
          <t>tower fan</t>
        </is>
      </c>
      <c r="E258" s="12" t="n">
        <v>204</v>
      </c>
      <c r="F258" s="10" t="inlineStr">
        <is>
          <t>تقدير</t>
        </is>
      </c>
      <c r="G258" s="10" t="inlineStr">
        <is>
          <t>تقدير</t>
        </is>
      </c>
      <c r="H258" s="10" t="inlineStr">
        <is>
          <t>لم تُفحص</t>
        </is>
      </c>
      <c r="I258" s="10" t="inlineStr">
        <is>
          <t>لم يُفحص</t>
        </is>
      </c>
      <c r="J258" s="13" t="n">
        <v>18</v>
      </c>
      <c r="K258" s="11" t="inlineStr">
        <is>
          <t>تقدير</t>
        </is>
      </c>
      <c r="L258" s="14" t="n">
        <v>3.5</v>
      </c>
      <c r="M258" s="10" t="inlineStr">
        <is>
          <t>كبير</t>
        </is>
      </c>
      <c r="N258" s="11" t="inlineStr">
        <is>
          <t>طوال السنة</t>
        </is>
      </c>
      <c r="O258" s="11" t="inlineStr">
        <is>
          <t>SABER</t>
        </is>
      </c>
      <c r="P258" s="15" t="n">
        <v>0.15</v>
      </c>
      <c r="Q258" s="14" t="n">
        <v>17</v>
      </c>
      <c r="R258" s="14" t="n">
        <v>50</v>
      </c>
      <c r="S258" s="16">
        <f>J258*'الافتراضات'!$B$2*(1+'الافتراضات'!$B$3)</f>
        <v/>
      </c>
      <c r="T258" s="16">
        <f>L258*'الافتراضات'!$B$4</f>
        <v/>
      </c>
      <c r="U258" s="16">
        <f>(S258+T258)*'الافتراضات'!$B$5</f>
        <v/>
      </c>
      <c r="V258" s="16">
        <f>S258+T258+U258</f>
        <v/>
      </c>
      <c r="W258" s="16">
        <f>MAX(1,E258*P258)</f>
        <v/>
      </c>
      <c r="X258" s="16">
        <f>E258*'الافتراضات'!$B$7</f>
        <v/>
      </c>
      <c r="Y258" s="16">
        <f>E258*'الافتراضات'!$B$8</f>
        <v/>
      </c>
      <c r="Z258" s="16">
        <f>E258/(1+'الافتراضات'!$B$6)</f>
        <v/>
      </c>
      <c r="AA258" s="16">
        <f>Z258-V258-W258-Q258-X258-Y258</f>
        <v/>
      </c>
      <c r="AB258" s="17">
        <f>IF(Z258=0,0,AA258/Z258)</f>
        <v/>
      </c>
      <c r="AC258" s="17">
        <f>IF(V258=0,0,AA258/V258)</f>
        <v/>
      </c>
      <c r="AD258" s="18">
        <f>R258*V258</f>
        <v/>
      </c>
      <c r="AE258" s="16">
        <f>IF(AB258&gt;='الافتراضات'!$B$9,IF(O258="لا","ابدأ به","جيد – يحتاج شهادة"),IF(AB258&gt;='الافتراضات'!$B$10,"مقبول","ضعيف"))</f>
        <v/>
      </c>
      <c r="AF258" s="16">
        <f>IF((1-'الافتراضات'!$B$9)/(1+'الافتراضات'!$B$6)-P258-'الافتراضات'!$B$7-'الافتراضات'!$B$8&lt;=0,0,(V258+Q258)/((1-'الافتراضات'!$B$9)/(1+'الافتراضات'!$B$6)-P258-'الافتراضات'!$B$7-'الافتراضات'!$B$8))</f>
        <v/>
      </c>
    </row>
    <row r="259">
      <c r="A259" s="10" t="n">
        <v>258</v>
      </c>
      <c r="B259" s="11" t="inlineStr">
        <is>
          <t>الأطفال والألعاب</t>
        </is>
      </c>
      <c r="C259" s="11" t="inlineStr">
        <is>
          <t>طاولة رسم ضوئية LED</t>
        </is>
      </c>
      <c r="D259" s="11" t="inlineStr">
        <is>
          <t>LED tracing light pad A4</t>
        </is>
      </c>
      <c r="E259" s="12" t="n">
        <v>57</v>
      </c>
      <c r="F259" s="10" t="inlineStr">
        <is>
          <t>تقدير</t>
        </is>
      </c>
      <c r="G259" s="10" t="inlineStr">
        <is>
          <t>تقدير</t>
        </is>
      </c>
      <c r="H259" s="10" t="inlineStr">
        <is>
          <t>لم تُفحص</t>
        </is>
      </c>
      <c r="I259" s="10" t="inlineStr">
        <is>
          <t>لم يُفحص</t>
        </is>
      </c>
      <c r="J259" s="13" t="n">
        <v>5</v>
      </c>
      <c r="K259" s="11" t="inlineStr">
        <is>
          <t>تقدير</t>
        </is>
      </c>
      <c r="L259" s="14" t="n">
        <v>0.5</v>
      </c>
      <c r="M259" s="10" t="inlineStr">
        <is>
          <t>متوسط</t>
        </is>
      </c>
      <c r="N259" s="11" t="inlineStr">
        <is>
          <t>طوال السنة</t>
        </is>
      </c>
      <c r="O259" s="11" t="inlineStr">
        <is>
          <t>SABER</t>
        </is>
      </c>
      <c r="P259" s="15" t="n">
        <v>0.14</v>
      </c>
      <c r="Q259" s="14" t="n">
        <v>9.5</v>
      </c>
      <c r="R259" s="14" t="n">
        <v>50</v>
      </c>
      <c r="S259" s="16">
        <f>J259*'الافتراضات'!$B$2*(1+'الافتراضات'!$B$3)</f>
        <v/>
      </c>
      <c r="T259" s="16">
        <f>L259*'الافتراضات'!$B$4</f>
        <v/>
      </c>
      <c r="U259" s="16">
        <f>(S259+T259)*'الافتراضات'!$B$5</f>
        <v/>
      </c>
      <c r="V259" s="16">
        <f>S259+T259+U259</f>
        <v/>
      </c>
      <c r="W259" s="16">
        <f>MAX(1,E259*P259)</f>
        <v/>
      </c>
      <c r="X259" s="16">
        <f>E259*'الافتراضات'!$B$7</f>
        <v/>
      </c>
      <c r="Y259" s="16">
        <f>E259*'الافتراضات'!$B$8</f>
        <v/>
      </c>
      <c r="Z259" s="16">
        <f>E259/(1+'الافتراضات'!$B$6)</f>
        <v/>
      </c>
      <c r="AA259" s="16">
        <f>Z259-V259-W259-Q259-X259-Y259</f>
        <v/>
      </c>
      <c r="AB259" s="17">
        <f>IF(Z259=0,0,AA259/Z259)</f>
        <v/>
      </c>
      <c r="AC259" s="17">
        <f>IF(V259=0,0,AA259/V259)</f>
        <v/>
      </c>
      <c r="AD259" s="18">
        <f>R259*V259</f>
        <v/>
      </c>
      <c r="AE259" s="16">
        <f>IF(AB259&gt;='الافتراضات'!$B$9,IF(O259="لا","ابدأ به","جيد – يحتاج شهادة"),IF(AB259&gt;='الافتراضات'!$B$10,"مقبول","ضعيف"))</f>
        <v/>
      </c>
      <c r="AF259" s="16">
        <f>IF((1-'الافتراضات'!$B$9)/(1+'الافتراضات'!$B$6)-P259-'الافتراضات'!$B$7-'الافتراضات'!$B$8&lt;=0,0,(V259+Q259)/((1-'الافتراضات'!$B$9)/(1+'الافتراضات'!$B$6)-P259-'الافتراضات'!$B$7-'الافتراضات'!$B$8))</f>
        <v/>
      </c>
    </row>
    <row r="260">
      <c r="A260" s="10" t="n">
        <v>259</v>
      </c>
      <c r="B260" s="11" t="inlineStr">
        <is>
          <t>الإضاءة والديكور</t>
        </is>
      </c>
      <c r="C260" s="11" t="inlineStr">
        <is>
          <t>كشاف شمسي جداري</t>
        </is>
      </c>
      <c r="D260" s="11" t="inlineStr">
        <is>
          <t>solar wall light motion sensor</t>
        </is>
      </c>
      <c r="E260" s="12" t="n">
        <v>57</v>
      </c>
      <c r="F260" s="10" t="inlineStr">
        <is>
          <t>تقدير</t>
        </is>
      </c>
      <c r="G260" s="10" t="inlineStr">
        <is>
          <t>تقدير</t>
        </is>
      </c>
      <c r="H260" s="10" t="inlineStr">
        <is>
          <t>لم تُفحص</t>
        </is>
      </c>
      <c r="I260" s="10" t="inlineStr">
        <is>
          <t>لم يُفحص</t>
        </is>
      </c>
      <c r="J260" s="13" t="n">
        <v>5</v>
      </c>
      <c r="K260" s="11" t="inlineStr">
        <is>
          <t>تقدير</t>
        </is>
      </c>
      <c r="L260" s="14" t="n">
        <v>0.5</v>
      </c>
      <c r="M260" s="10" t="inlineStr">
        <is>
          <t>متوسط</t>
        </is>
      </c>
      <c r="N260" s="11" t="inlineStr">
        <is>
          <t>طوال السنة</t>
        </is>
      </c>
      <c r="O260" s="11" t="inlineStr">
        <is>
          <t>SABER + بطارية ليثيوم</t>
        </is>
      </c>
      <c r="P260" s="15" t="n">
        <v>0.14</v>
      </c>
      <c r="Q260" s="14" t="n">
        <v>9.5</v>
      </c>
      <c r="R260" s="14" t="n">
        <v>50</v>
      </c>
      <c r="S260" s="16">
        <f>J260*'الافتراضات'!$B$2*(1+'الافتراضات'!$B$3)</f>
        <v/>
      </c>
      <c r="T260" s="16">
        <f>L260*'الافتراضات'!$B$4</f>
        <v/>
      </c>
      <c r="U260" s="16">
        <f>(S260+T260)*'الافتراضات'!$B$5</f>
        <v/>
      </c>
      <c r="V260" s="16">
        <f>S260+T260+U260</f>
        <v/>
      </c>
      <c r="W260" s="16">
        <f>MAX(1,E260*P260)</f>
        <v/>
      </c>
      <c r="X260" s="16">
        <f>E260*'الافتراضات'!$B$7</f>
        <v/>
      </c>
      <c r="Y260" s="16">
        <f>E260*'الافتراضات'!$B$8</f>
        <v/>
      </c>
      <c r="Z260" s="16">
        <f>E260/(1+'الافتراضات'!$B$6)</f>
        <v/>
      </c>
      <c r="AA260" s="16">
        <f>Z260-V260-W260-Q260-X260-Y260</f>
        <v/>
      </c>
      <c r="AB260" s="17">
        <f>IF(Z260=0,0,AA260/Z260)</f>
        <v/>
      </c>
      <c r="AC260" s="17">
        <f>IF(V260=0,0,AA260/V260)</f>
        <v/>
      </c>
      <c r="AD260" s="18">
        <f>R260*V260</f>
        <v/>
      </c>
      <c r="AE260" s="16">
        <f>IF(AB260&gt;='الافتراضات'!$B$9,IF(O260="لا","ابدأ به","جيد – يحتاج شهادة"),IF(AB260&gt;='الافتراضات'!$B$10,"مقبول","ضعيف"))</f>
        <v/>
      </c>
      <c r="AF260" s="16">
        <f>IF((1-'الافتراضات'!$B$9)/(1+'الافتراضات'!$B$6)-P260-'الافتراضات'!$B$7-'الافتراضات'!$B$8&lt;=0,0,(V260+Q260)/((1-'الافتراضات'!$B$9)/(1+'الافتراضات'!$B$6)-P260-'الافتراضات'!$B$7-'الافتراضات'!$B$8))</f>
        <v/>
      </c>
    </row>
    <row r="261">
      <c r="A261" s="10" t="n">
        <v>260</v>
      </c>
      <c r="B261" s="11" t="inlineStr">
        <is>
          <t>الحديقة والخارج</t>
        </is>
      </c>
      <c r="C261" s="11" t="inlineStr">
        <is>
          <t>نافورة حديقة شمسية</t>
        </is>
      </c>
      <c r="D261" s="11" t="inlineStr">
        <is>
          <t>solar fountain pump</t>
        </is>
      </c>
      <c r="E261" s="12" t="n">
        <v>57</v>
      </c>
      <c r="F261" s="10" t="inlineStr">
        <is>
          <t>تقدير</t>
        </is>
      </c>
      <c r="G261" s="10" t="inlineStr">
        <is>
          <t>تقدير</t>
        </is>
      </c>
      <c r="H261" s="10" t="inlineStr">
        <is>
          <t>لم تُفحص</t>
        </is>
      </c>
      <c r="I261" s="10" t="inlineStr">
        <is>
          <t>لم يُفحص</t>
        </is>
      </c>
      <c r="J261" s="13" t="n">
        <v>5</v>
      </c>
      <c r="K261" s="11" t="inlineStr">
        <is>
          <t>تقدير</t>
        </is>
      </c>
      <c r="L261" s="14" t="n">
        <v>0.5</v>
      </c>
      <c r="M261" s="10" t="inlineStr">
        <is>
          <t>متوسط</t>
        </is>
      </c>
      <c r="N261" s="11" t="inlineStr">
        <is>
          <t>الصيف</t>
        </is>
      </c>
      <c r="O261" s="11" t="inlineStr">
        <is>
          <t>SABER + بطارية ليثيوم</t>
        </is>
      </c>
      <c r="P261" s="15" t="n">
        <v>0.14</v>
      </c>
      <c r="Q261" s="14" t="n">
        <v>9.5</v>
      </c>
      <c r="R261" s="14" t="n">
        <v>50</v>
      </c>
      <c r="S261" s="16">
        <f>J261*'الافتراضات'!$B$2*(1+'الافتراضات'!$B$3)</f>
        <v/>
      </c>
      <c r="T261" s="16">
        <f>L261*'الافتراضات'!$B$4</f>
        <v/>
      </c>
      <c r="U261" s="16">
        <f>(S261+T261)*'الافتراضات'!$B$5</f>
        <v/>
      </c>
      <c r="V261" s="16">
        <f>S261+T261+U261</f>
        <v/>
      </c>
      <c r="W261" s="16">
        <f>MAX(1,E261*P261)</f>
        <v/>
      </c>
      <c r="X261" s="16">
        <f>E261*'الافتراضات'!$B$7</f>
        <v/>
      </c>
      <c r="Y261" s="16">
        <f>E261*'الافتراضات'!$B$8</f>
        <v/>
      </c>
      <c r="Z261" s="16">
        <f>E261/(1+'الافتراضات'!$B$6)</f>
        <v/>
      </c>
      <c r="AA261" s="16">
        <f>Z261-V261-W261-Q261-X261-Y261</f>
        <v/>
      </c>
      <c r="AB261" s="17">
        <f>IF(Z261=0,0,AA261/Z261)</f>
        <v/>
      </c>
      <c r="AC261" s="17">
        <f>IF(V261=0,0,AA261/V261)</f>
        <v/>
      </c>
      <c r="AD261" s="18">
        <f>R261*V261</f>
        <v/>
      </c>
      <c r="AE261" s="16">
        <f>IF(AB261&gt;='الافتراضات'!$B$9,IF(O261="لا","ابدأ به","جيد – يحتاج شهادة"),IF(AB261&gt;='الافتراضات'!$B$10,"مقبول","ضعيف"))</f>
        <v/>
      </c>
      <c r="AF261" s="16">
        <f>IF((1-'الافتراضات'!$B$9)/(1+'الافتراضات'!$B$6)-P261-'الافتراضات'!$B$7-'الافتراضات'!$B$8&lt;=0,0,(V261+Q261)/((1-'الافتراضات'!$B$9)/(1+'الافتراضات'!$B$6)-P261-'الافتراضات'!$B$7-'الافتراضات'!$B$8))</f>
        <v/>
      </c>
    </row>
    <row r="262">
      <c r="A262" s="10" t="n">
        <v>261</v>
      </c>
      <c r="B262" s="11" t="inlineStr">
        <is>
          <t>الإضاءة والديكور</t>
        </is>
      </c>
      <c r="C262" s="11" t="inlineStr">
        <is>
          <t>إضاءة حساسة للحركة</t>
        </is>
      </c>
      <c r="D262" s="11" t="inlineStr">
        <is>
          <t>motion sensor night light</t>
        </is>
      </c>
      <c r="E262" s="12" t="n">
        <v>25</v>
      </c>
      <c r="F262" s="10" t="inlineStr">
        <is>
          <t>تقدير</t>
        </is>
      </c>
      <c r="G262" s="10" t="inlineStr">
        <is>
          <t>تقدير</t>
        </is>
      </c>
      <c r="H262" s="10" t="inlineStr">
        <is>
          <t>لم تُفحص</t>
        </is>
      </c>
      <c r="I262" s="10" t="inlineStr">
        <is>
          <t>لم يُفحص</t>
        </is>
      </c>
      <c r="J262" s="13" t="n">
        <v>2</v>
      </c>
      <c r="K262" s="11" t="inlineStr">
        <is>
          <t>تقدير</t>
        </is>
      </c>
      <c r="L262" s="14" t="n">
        <v>0.1</v>
      </c>
      <c r="M262" s="10" t="inlineStr">
        <is>
          <t>صغير</t>
        </is>
      </c>
      <c r="N262" s="11" t="inlineStr">
        <is>
          <t>طوال السنة</t>
        </is>
      </c>
      <c r="O262" s="11" t="inlineStr">
        <is>
          <t>SABER + بطارية ليثيوم</t>
        </is>
      </c>
      <c r="P262" s="15" t="n">
        <v>0.14</v>
      </c>
      <c r="Q262" s="14" t="n">
        <v>6</v>
      </c>
      <c r="R262" s="14" t="n">
        <v>50</v>
      </c>
      <c r="S262" s="16">
        <f>J262*'الافتراضات'!$B$2*(1+'الافتراضات'!$B$3)</f>
        <v/>
      </c>
      <c r="T262" s="16">
        <f>L262*'الافتراضات'!$B$4</f>
        <v/>
      </c>
      <c r="U262" s="16">
        <f>(S262+T262)*'الافتراضات'!$B$5</f>
        <v/>
      </c>
      <c r="V262" s="16">
        <f>S262+T262+U262</f>
        <v/>
      </c>
      <c r="W262" s="16">
        <f>MAX(1,E262*P262)</f>
        <v/>
      </c>
      <c r="X262" s="16">
        <f>E262*'الافتراضات'!$B$7</f>
        <v/>
      </c>
      <c r="Y262" s="16">
        <f>E262*'الافتراضات'!$B$8</f>
        <v/>
      </c>
      <c r="Z262" s="16">
        <f>E262/(1+'الافتراضات'!$B$6)</f>
        <v/>
      </c>
      <c r="AA262" s="16">
        <f>Z262-V262-W262-Q262-X262-Y262</f>
        <v/>
      </c>
      <c r="AB262" s="17">
        <f>IF(Z262=0,0,AA262/Z262)</f>
        <v/>
      </c>
      <c r="AC262" s="17">
        <f>IF(V262=0,0,AA262/V262)</f>
        <v/>
      </c>
      <c r="AD262" s="18">
        <f>R262*V262</f>
        <v/>
      </c>
      <c r="AE262" s="16">
        <f>IF(AB262&gt;='الافتراضات'!$B$9,IF(O262="لا","ابدأ به","جيد – يحتاج شهادة"),IF(AB262&gt;='الافتراضات'!$B$10,"مقبول","ضعيف"))</f>
        <v/>
      </c>
      <c r="AF262" s="16">
        <f>IF((1-'الافتراضات'!$B$9)/(1+'الافتراضات'!$B$6)-P262-'الافتراضات'!$B$7-'الافتراضات'!$B$8&lt;=0,0,(V262+Q262)/((1-'الافتراضات'!$B$9)/(1+'الافتراضات'!$B$6)-P262-'الافتراضات'!$B$7-'الافتراضات'!$B$8))</f>
        <v/>
      </c>
    </row>
    <row r="263">
      <c r="A263" s="10" t="n">
        <v>262</v>
      </c>
      <c r="B263" s="11" t="inlineStr">
        <is>
          <t>الأمان المنزلي</t>
        </is>
      </c>
      <c r="C263" s="11" t="inlineStr">
        <is>
          <t>كاشف تسرب مياه</t>
        </is>
      </c>
      <c r="D263" s="11" t="inlineStr">
        <is>
          <t>water leak sensor alarm</t>
        </is>
      </c>
      <c r="E263" s="12" t="n">
        <v>25</v>
      </c>
      <c r="F263" s="10" t="inlineStr">
        <is>
          <t>تقدير</t>
        </is>
      </c>
      <c r="G263" s="10" t="inlineStr">
        <is>
          <t>تقدير</t>
        </is>
      </c>
      <c r="H263" s="10" t="inlineStr">
        <is>
          <t>لم تُفحص</t>
        </is>
      </c>
      <c r="I263" s="10" t="inlineStr">
        <is>
          <t>لم يُفحص</t>
        </is>
      </c>
      <c r="J263" s="13" t="n">
        <v>2</v>
      </c>
      <c r="K263" s="11" t="inlineStr">
        <is>
          <t>تقدير</t>
        </is>
      </c>
      <c r="L263" s="14" t="n">
        <v>0.1</v>
      </c>
      <c r="M263" s="10" t="inlineStr">
        <is>
          <t>صغير</t>
        </is>
      </c>
      <c r="N263" s="11" t="inlineStr">
        <is>
          <t>طوال السنة</t>
        </is>
      </c>
      <c r="O263" s="11" t="inlineStr">
        <is>
          <t>SABER + بطارية ليثيوم</t>
        </is>
      </c>
      <c r="P263" s="15" t="n">
        <v>0.14</v>
      </c>
      <c r="Q263" s="14" t="n">
        <v>6</v>
      </c>
      <c r="R263" s="14" t="n">
        <v>50</v>
      </c>
      <c r="S263" s="16">
        <f>J263*'الافتراضات'!$B$2*(1+'الافتراضات'!$B$3)</f>
        <v/>
      </c>
      <c r="T263" s="16">
        <f>L263*'الافتراضات'!$B$4</f>
        <v/>
      </c>
      <c r="U263" s="16">
        <f>(S263+T263)*'الافتراضات'!$B$5</f>
        <v/>
      </c>
      <c r="V263" s="16">
        <f>S263+T263+U263</f>
        <v/>
      </c>
      <c r="W263" s="16">
        <f>MAX(1,E263*P263)</f>
        <v/>
      </c>
      <c r="X263" s="16">
        <f>E263*'الافتراضات'!$B$7</f>
        <v/>
      </c>
      <c r="Y263" s="16">
        <f>E263*'الافتراضات'!$B$8</f>
        <v/>
      </c>
      <c r="Z263" s="16">
        <f>E263/(1+'الافتراضات'!$B$6)</f>
        <v/>
      </c>
      <c r="AA263" s="16">
        <f>Z263-V263-W263-Q263-X263-Y263</f>
        <v/>
      </c>
      <c r="AB263" s="17">
        <f>IF(Z263=0,0,AA263/Z263)</f>
        <v/>
      </c>
      <c r="AC263" s="17">
        <f>IF(V263=0,0,AA263/V263)</f>
        <v/>
      </c>
      <c r="AD263" s="18">
        <f>R263*V263</f>
        <v/>
      </c>
      <c r="AE263" s="16">
        <f>IF(AB263&gt;='الافتراضات'!$B$9,IF(O263="لا","ابدأ به","جيد – يحتاج شهادة"),IF(AB263&gt;='الافتراضات'!$B$10,"مقبول","ضعيف"))</f>
        <v/>
      </c>
      <c r="AF263" s="16">
        <f>IF((1-'الافتراضات'!$B$9)/(1+'الافتراضات'!$B$6)-P263-'الافتراضات'!$B$7-'الافتراضات'!$B$8&lt;=0,0,(V263+Q263)/((1-'الافتراضات'!$B$9)/(1+'الافتراضات'!$B$6)-P263-'الافتراضات'!$B$7-'الافتراضات'!$B$8))</f>
        <v/>
      </c>
    </row>
    <row r="264">
      <c r="A264" s="10" t="n">
        <v>263</v>
      </c>
      <c r="B264" s="11" t="inlineStr">
        <is>
          <t>الرياضة واللياقة</t>
        </is>
      </c>
      <c r="C264" s="11" t="inlineStr">
        <is>
          <t>دراجة تمارين منزلية</t>
        </is>
      </c>
      <c r="D264" s="11" t="inlineStr">
        <is>
          <t>mini exercise bike under desk</t>
        </is>
      </c>
      <c r="E264" s="12" t="n">
        <v>317</v>
      </c>
      <c r="F264" s="10" t="inlineStr">
        <is>
          <t>تقدير</t>
        </is>
      </c>
      <c r="G264" s="10" t="inlineStr">
        <is>
          <t>تقدير</t>
        </is>
      </c>
      <c r="H264" s="10" t="inlineStr">
        <is>
          <t>لم تُفحص</t>
        </is>
      </c>
      <c r="I264" s="10" t="inlineStr">
        <is>
          <t>لم يُفحص</t>
        </is>
      </c>
      <c r="J264" s="13" t="n">
        <v>28</v>
      </c>
      <c r="K264" s="11" t="inlineStr">
        <is>
          <t>تقدير</t>
        </is>
      </c>
      <c r="L264" s="14" t="n">
        <v>7</v>
      </c>
      <c r="M264" s="10" t="inlineStr">
        <is>
          <t>كبير</t>
        </is>
      </c>
      <c r="N264" s="11" t="inlineStr">
        <is>
          <t>طوال السنة</t>
        </is>
      </c>
      <c r="O264" s="11" t="inlineStr">
        <is>
          <t>لا</t>
        </is>
      </c>
      <c r="P264" s="15" t="n">
        <v>0.13</v>
      </c>
      <c r="Q264" s="14" t="n">
        <v>20</v>
      </c>
      <c r="R264" s="14" t="n">
        <v>50</v>
      </c>
      <c r="S264" s="16">
        <f>J264*'الافتراضات'!$B$2*(1+'الافتراضات'!$B$3)</f>
        <v/>
      </c>
      <c r="T264" s="16">
        <f>L264*'الافتراضات'!$B$4</f>
        <v/>
      </c>
      <c r="U264" s="16">
        <f>(S264+T264)*'الافتراضات'!$B$5</f>
        <v/>
      </c>
      <c r="V264" s="16">
        <f>S264+T264+U264</f>
        <v/>
      </c>
      <c r="W264" s="16">
        <f>MAX(1,E264*P264)</f>
        <v/>
      </c>
      <c r="X264" s="16">
        <f>E264*'الافتراضات'!$B$7</f>
        <v/>
      </c>
      <c r="Y264" s="16">
        <f>E264*'الافتراضات'!$B$8</f>
        <v/>
      </c>
      <c r="Z264" s="16">
        <f>E264/(1+'الافتراضات'!$B$6)</f>
        <v/>
      </c>
      <c r="AA264" s="16">
        <f>Z264-V264-W264-Q264-X264-Y264</f>
        <v/>
      </c>
      <c r="AB264" s="17">
        <f>IF(Z264=0,0,AA264/Z264)</f>
        <v/>
      </c>
      <c r="AC264" s="17">
        <f>IF(V264=0,0,AA264/V264)</f>
        <v/>
      </c>
      <c r="AD264" s="18">
        <f>R264*V264</f>
        <v/>
      </c>
      <c r="AE264" s="16">
        <f>IF(AB264&gt;='الافتراضات'!$B$9,IF(O264="لا","ابدأ به","جيد – يحتاج شهادة"),IF(AB264&gt;='الافتراضات'!$B$10,"مقبول","ضعيف"))</f>
        <v/>
      </c>
      <c r="AF264" s="16">
        <f>IF((1-'الافتراضات'!$B$9)/(1+'الافتراضات'!$B$6)-P264-'الافتراضات'!$B$7-'الافتراضات'!$B$8&lt;=0,0,(V264+Q264)/((1-'الافتراضات'!$B$9)/(1+'الافتراضات'!$B$6)-P264-'الافتراضات'!$B$7-'الافتراضات'!$B$8))</f>
        <v/>
      </c>
    </row>
    <row r="265">
      <c r="A265" s="10" t="n">
        <v>264</v>
      </c>
      <c r="B265" s="11" t="inlineStr">
        <is>
          <t>التخييم والسفر</t>
        </is>
      </c>
      <c r="C265" s="11" t="inlineStr">
        <is>
          <t>حقيبة مستندات للسفر</t>
        </is>
      </c>
      <c r="D265" s="11" t="inlineStr">
        <is>
          <t>travel passport wallet</t>
        </is>
      </c>
      <c r="E265" s="12" t="n">
        <v>25</v>
      </c>
      <c r="F265" s="10" t="inlineStr">
        <is>
          <t>تقدير</t>
        </is>
      </c>
      <c r="G265" s="10" t="inlineStr">
        <is>
          <t>تقدير</t>
        </is>
      </c>
      <c r="H265" s="10" t="inlineStr">
        <is>
          <t>لم تُفحص</t>
        </is>
      </c>
      <c r="I265" s="10" t="inlineStr">
        <is>
          <t>لم يُفحص</t>
        </is>
      </c>
      <c r="J265" s="13" t="n">
        <v>1.4</v>
      </c>
      <c r="K265" s="11" t="inlineStr">
        <is>
          <t>تقدير</t>
        </is>
      </c>
      <c r="L265" s="14" t="n">
        <v>0.08</v>
      </c>
      <c r="M265" s="10" t="inlineStr">
        <is>
          <t>صغير</t>
        </is>
      </c>
      <c r="N265" s="11" t="inlineStr">
        <is>
          <t>طوال السنة</t>
        </is>
      </c>
      <c r="O265" s="11" t="inlineStr">
        <is>
          <t>لا</t>
        </is>
      </c>
      <c r="P265" s="15" t="n">
        <v>0.25</v>
      </c>
      <c r="Q265" s="14" t="n">
        <v>6</v>
      </c>
      <c r="R265" s="14" t="n">
        <v>50</v>
      </c>
      <c r="S265" s="16">
        <f>J265*'الافتراضات'!$B$2*(1+'الافتراضات'!$B$3)</f>
        <v/>
      </c>
      <c r="T265" s="16">
        <f>L265*'الافتراضات'!$B$4</f>
        <v/>
      </c>
      <c r="U265" s="16">
        <f>(S265+T265)*'الافتراضات'!$B$5</f>
        <v/>
      </c>
      <c r="V265" s="16">
        <f>S265+T265+U265</f>
        <v/>
      </c>
      <c r="W265" s="16">
        <f>MAX(1,E265*P265)</f>
        <v/>
      </c>
      <c r="X265" s="16">
        <f>E265*'الافتراضات'!$B$7</f>
        <v/>
      </c>
      <c r="Y265" s="16">
        <f>E265*'الافتراضات'!$B$8</f>
        <v/>
      </c>
      <c r="Z265" s="16">
        <f>E265/(1+'الافتراضات'!$B$6)</f>
        <v/>
      </c>
      <c r="AA265" s="16">
        <f>Z265-V265-W265-Q265-X265-Y265</f>
        <v/>
      </c>
      <c r="AB265" s="17">
        <f>IF(Z265=0,0,AA265/Z265)</f>
        <v/>
      </c>
      <c r="AC265" s="17">
        <f>IF(V265=0,0,AA265/V265)</f>
        <v/>
      </c>
      <c r="AD265" s="18">
        <f>R265*V265</f>
        <v/>
      </c>
      <c r="AE265" s="16">
        <f>IF(AB265&gt;='الافتراضات'!$B$9,IF(O265="لا","ابدأ به","جيد – يحتاج شهادة"),IF(AB265&gt;='الافتراضات'!$B$10,"مقبول","ضعيف"))</f>
        <v/>
      </c>
      <c r="AF265" s="16">
        <f>IF((1-'الافتراضات'!$B$9)/(1+'الافتراضات'!$B$6)-P265-'الافتراضات'!$B$7-'الافتراضات'!$B$8&lt;=0,0,(V265+Q265)/((1-'الافتراضات'!$B$9)/(1+'الافتراضات'!$B$6)-P265-'الافتراضات'!$B$7-'الافتراضات'!$B$8))</f>
        <v/>
      </c>
    </row>
    <row r="266">
      <c r="A266" s="10" t="n">
        <v>265</v>
      </c>
      <c r="B266" s="11" t="inlineStr">
        <is>
          <t>الأطفال والألعاب</t>
        </is>
      </c>
      <c r="C266" s="11" t="inlineStr">
        <is>
          <t>طاولة أنشطة للأطفال</t>
        </is>
      </c>
      <c r="D266" s="11" t="inlineStr">
        <is>
          <t>kids activity table chairs</t>
        </is>
      </c>
      <c r="E266" s="12" t="n">
        <v>249</v>
      </c>
      <c r="F266" s="10" t="inlineStr">
        <is>
          <t>تقدير</t>
        </is>
      </c>
      <c r="G266" s="10" t="inlineStr">
        <is>
          <t>تقدير</t>
        </is>
      </c>
      <c r="H266" s="10" t="inlineStr">
        <is>
          <t>لم تُفحص</t>
        </is>
      </c>
      <c r="I266" s="10" t="inlineStr">
        <is>
          <t>لم يُفحص</t>
        </is>
      </c>
      <c r="J266" s="13" t="n">
        <v>22</v>
      </c>
      <c r="K266" s="11" t="inlineStr">
        <is>
          <t>تقدير</t>
        </is>
      </c>
      <c r="L266" s="14" t="n">
        <v>5</v>
      </c>
      <c r="M266" s="10" t="inlineStr">
        <is>
          <t>كبير</t>
        </is>
      </c>
      <c r="N266" s="11" t="inlineStr">
        <is>
          <t>طوال السنة</t>
        </is>
      </c>
      <c r="O266" s="11" t="inlineStr">
        <is>
          <t>اشتراطات سلامة الألعاب</t>
        </is>
      </c>
      <c r="P266" s="15" t="n">
        <v>0.14</v>
      </c>
      <c r="Q266" s="14" t="n">
        <v>18</v>
      </c>
      <c r="R266" s="14" t="n">
        <v>50</v>
      </c>
      <c r="S266" s="16">
        <f>J266*'الافتراضات'!$B$2*(1+'الافتراضات'!$B$3)</f>
        <v/>
      </c>
      <c r="T266" s="16">
        <f>L266*'الافتراضات'!$B$4</f>
        <v/>
      </c>
      <c r="U266" s="16">
        <f>(S266+T266)*'الافتراضات'!$B$5</f>
        <v/>
      </c>
      <c r="V266" s="16">
        <f>S266+T266+U266</f>
        <v/>
      </c>
      <c r="W266" s="16">
        <f>MAX(1,E266*P266)</f>
        <v/>
      </c>
      <c r="X266" s="16">
        <f>E266*'الافتراضات'!$B$7</f>
        <v/>
      </c>
      <c r="Y266" s="16">
        <f>E266*'الافتراضات'!$B$8</f>
        <v/>
      </c>
      <c r="Z266" s="16">
        <f>E266/(1+'الافتراضات'!$B$6)</f>
        <v/>
      </c>
      <c r="AA266" s="16">
        <f>Z266-V266-W266-Q266-X266-Y266</f>
        <v/>
      </c>
      <c r="AB266" s="17">
        <f>IF(Z266=0,0,AA266/Z266)</f>
        <v/>
      </c>
      <c r="AC266" s="17">
        <f>IF(V266=0,0,AA266/V266)</f>
        <v/>
      </c>
      <c r="AD266" s="18">
        <f>R266*V266</f>
        <v/>
      </c>
      <c r="AE266" s="16">
        <f>IF(AB266&gt;='الافتراضات'!$B$9,IF(O266="لا","ابدأ به","جيد – يحتاج شهادة"),IF(AB266&gt;='الافتراضات'!$B$10,"مقبول","ضعيف"))</f>
        <v/>
      </c>
      <c r="AF266" s="16">
        <f>IF((1-'الافتراضات'!$B$9)/(1+'الافتراضات'!$B$6)-P266-'الافتراضات'!$B$7-'الافتراضات'!$B$8&lt;=0,0,(V266+Q266)/((1-'الافتراضات'!$B$9)/(1+'الافتراضات'!$B$6)-P266-'الافتراضات'!$B$7-'الافتراضات'!$B$8))</f>
        <v/>
      </c>
    </row>
    <row r="267">
      <c r="A267" s="10" t="n">
        <v>266</v>
      </c>
      <c r="B267" s="11" t="inlineStr">
        <is>
          <t>المكتب والدراسة</t>
        </is>
      </c>
      <c r="C267" s="11" t="inlineStr">
        <is>
          <t>حقيبة مدرسية للأطفال مقاومة للماء</t>
        </is>
      </c>
      <c r="D267" s="11" t="inlineStr">
        <is>
          <t>school backpack kids waterproof</t>
        </is>
      </c>
      <c r="E267" s="12" t="n">
        <v>57</v>
      </c>
      <c r="F267" s="10" t="inlineStr">
        <is>
          <t>تقدير</t>
        </is>
      </c>
      <c r="G267" s="10" t="inlineStr">
        <is>
          <t>تقدير</t>
        </is>
      </c>
      <c r="H267" s="10" t="inlineStr">
        <is>
          <t>لم تُفحص</t>
        </is>
      </c>
      <c r="I267" s="10" t="inlineStr">
        <is>
          <t>لم يُفحص</t>
        </is>
      </c>
      <c r="J267" s="13" t="n">
        <v>5</v>
      </c>
      <c r="K267" s="11" t="inlineStr">
        <is>
          <t>تقدير</t>
        </is>
      </c>
      <c r="L267" s="14" t="n">
        <v>0.6</v>
      </c>
      <c r="M267" s="10" t="inlineStr">
        <is>
          <t>متوسط</t>
        </is>
      </c>
      <c r="N267" s="11" t="inlineStr">
        <is>
          <t>العودة للمدارس</t>
        </is>
      </c>
      <c r="O267" s="11" t="inlineStr">
        <is>
          <t>لا</t>
        </is>
      </c>
      <c r="P267" s="15" t="n">
        <v>0.12</v>
      </c>
      <c r="Q267" s="14" t="n">
        <v>10</v>
      </c>
      <c r="R267" s="14" t="n">
        <v>50</v>
      </c>
      <c r="S267" s="16">
        <f>J267*'الافتراضات'!$B$2*(1+'الافتراضات'!$B$3)</f>
        <v/>
      </c>
      <c r="T267" s="16">
        <f>L267*'الافتراضات'!$B$4</f>
        <v/>
      </c>
      <c r="U267" s="16">
        <f>(S267+T267)*'الافتراضات'!$B$5</f>
        <v/>
      </c>
      <c r="V267" s="16">
        <f>S267+T267+U267</f>
        <v/>
      </c>
      <c r="W267" s="16">
        <f>MAX(1,E267*P267)</f>
        <v/>
      </c>
      <c r="X267" s="16">
        <f>E267*'الافتراضات'!$B$7</f>
        <v/>
      </c>
      <c r="Y267" s="16">
        <f>E267*'الافتراضات'!$B$8</f>
        <v/>
      </c>
      <c r="Z267" s="16">
        <f>E267/(1+'الافتراضات'!$B$6)</f>
        <v/>
      </c>
      <c r="AA267" s="16">
        <f>Z267-V267-W267-Q267-X267-Y267</f>
        <v/>
      </c>
      <c r="AB267" s="17">
        <f>IF(Z267=0,0,AA267/Z267)</f>
        <v/>
      </c>
      <c r="AC267" s="17">
        <f>IF(V267=0,0,AA267/V267)</f>
        <v/>
      </c>
      <c r="AD267" s="18">
        <f>R267*V267</f>
        <v/>
      </c>
      <c r="AE267" s="16">
        <f>IF(AB267&gt;='الافتراضات'!$B$9,IF(O267="لا","ابدأ به","جيد – يحتاج شهادة"),IF(AB267&gt;='الافتراضات'!$B$10,"مقبول","ضعيف"))</f>
        <v/>
      </c>
      <c r="AF267" s="16">
        <f>IF((1-'الافتراضات'!$B$9)/(1+'الافتراضات'!$B$6)-P267-'الافتراضات'!$B$7-'الافتراضات'!$B$8&lt;=0,0,(V267+Q267)/((1-'الافتراضات'!$B$9)/(1+'الافتراضات'!$B$6)-P267-'الافتراضات'!$B$7-'الافتراضات'!$B$8))</f>
        <v/>
      </c>
    </row>
    <row r="268">
      <c r="A268" s="10" t="n">
        <v>267</v>
      </c>
      <c r="B268" s="11" t="inlineStr">
        <is>
          <t>الرياضة واللياقة</t>
        </is>
      </c>
      <c r="C268" s="11" t="inlineStr">
        <is>
          <t>حزام ظهر طبي</t>
        </is>
      </c>
      <c r="D268" s="11" t="inlineStr">
        <is>
          <t>back support brace</t>
        </is>
      </c>
      <c r="E268" s="12" t="n">
        <v>51</v>
      </c>
      <c r="F268" s="10" t="inlineStr">
        <is>
          <t>تقدير</t>
        </is>
      </c>
      <c r="G268" s="10" t="inlineStr">
        <is>
          <t>تقدير</t>
        </is>
      </c>
      <c r="H268" s="10" t="inlineStr">
        <is>
          <t>لم تُفحص</t>
        </is>
      </c>
      <c r="I268" s="10" t="inlineStr">
        <is>
          <t>لم يُفحص</t>
        </is>
      </c>
      <c r="J268" s="13" t="n">
        <v>4.5</v>
      </c>
      <c r="K268" s="11" t="inlineStr">
        <is>
          <t>تقدير</t>
        </is>
      </c>
      <c r="L268" s="14" t="n">
        <v>0.4</v>
      </c>
      <c r="M268" s="10" t="inlineStr">
        <is>
          <t>متوسط</t>
        </is>
      </c>
      <c r="N268" s="11" t="inlineStr">
        <is>
          <t>طوال السنة</t>
        </is>
      </c>
      <c r="O268" s="11" t="inlineStr">
        <is>
          <t>لا</t>
        </is>
      </c>
      <c r="P268" s="15" t="n">
        <v>0.13</v>
      </c>
      <c r="Q268" s="14" t="n">
        <v>9.5</v>
      </c>
      <c r="R268" s="14" t="n">
        <v>50</v>
      </c>
      <c r="S268" s="16">
        <f>J268*'الافتراضات'!$B$2*(1+'الافتراضات'!$B$3)</f>
        <v/>
      </c>
      <c r="T268" s="16">
        <f>L268*'الافتراضات'!$B$4</f>
        <v/>
      </c>
      <c r="U268" s="16">
        <f>(S268+T268)*'الافتراضات'!$B$5</f>
        <v/>
      </c>
      <c r="V268" s="16">
        <f>S268+T268+U268</f>
        <v/>
      </c>
      <c r="W268" s="16">
        <f>MAX(1,E268*P268)</f>
        <v/>
      </c>
      <c r="X268" s="16">
        <f>E268*'الافتراضات'!$B$7</f>
        <v/>
      </c>
      <c r="Y268" s="16">
        <f>E268*'الافتراضات'!$B$8</f>
        <v/>
      </c>
      <c r="Z268" s="16">
        <f>E268/(1+'الافتراضات'!$B$6)</f>
        <v/>
      </c>
      <c r="AA268" s="16">
        <f>Z268-V268-W268-Q268-X268-Y268</f>
        <v/>
      </c>
      <c r="AB268" s="17">
        <f>IF(Z268=0,0,AA268/Z268)</f>
        <v/>
      </c>
      <c r="AC268" s="17">
        <f>IF(V268=0,0,AA268/V268)</f>
        <v/>
      </c>
      <c r="AD268" s="18">
        <f>R268*V268</f>
        <v/>
      </c>
      <c r="AE268" s="16">
        <f>IF(AB268&gt;='الافتراضات'!$B$9,IF(O268="لا","ابدأ به","جيد – يحتاج شهادة"),IF(AB268&gt;='الافتراضات'!$B$10,"مقبول","ضعيف"))</f>
        <v/>
      </c>
      <c r="AF268" s="16">
        <f>IF((1-'الافتراضات'!$B$9)/(1+'الافتراضات'!$B$6)-P268-'الافتراضات'!$B$7-'الافتراضات'!$B$8&lt;=0,0,(V268+Q268)/((1-'الافتراضات'!$B$9)/(1+'الافتراضات'!$B$6)-P268-'الافتراضات'!$B$7-'الافتراضات'!$B$8))</f>
        <v/>
      </c>
    </row>
    <row r="269">
      <c r="A269" s="10" t="n">
        <v>268</v>
      </c>
      <c r="B269" s="11" t="inlineStr">
        <is>
          <t>المكتب والدراسة</t>
        </is>
      </c>
      <c r="C269" s="11" t="inlineStr">
        <is>
          <t>حقيبة وثائق بقفل</t>
        </is>
      </c>
      <c r="D269" s="11" t="inlineStr">
        <is>
          <t>document lock box</t>
        </is>
      </c>
      <c r="E269" s="12" t="n">
        <v>91</v>
      </c>
      <c r="F269" s="10" t="inlineStr">
        <is>
          <t>تقدير</t>
        </is>
      </c>
      <c r="G269" s="10" t="inlineStr">
        <is>
          <t>تقدير</t>
        </is>
      </c>
      <c r="H269" s="10" t="inlineStr">
        <is>
          <t>لم تُفحص</t>
        </is>
      </c>
      <c r="I269" s="10" t="inlineStr">
        <is>
          <t>لم يُفحص</t>
        </is>
      </c>
      <c r="J269" s="13" t="n">
        <v>8</v>
      </c>
      <c r="K269" s="11" t="inlineStr">
        <is>
          <t>تقدير</t>
        </is>
      </c>
      <c r="L269" s="14" t="n">
        <v>1.5</v>
      </c>
      <c r="M269" s="10" t="inlineStr">
        <is>
          <t>متوسط</t>
        </is>
      </c>
      <c r="N269" s="11" t="inlineStr">
        <is>
          <t>طوال السنة</t>
        </is>
      </c>
      <c r="O269" s="11" t="inlineStr">
        <is>
          <t>لا</t>
        </is>
      </c>
      <c r="P269" s="15" t="n">
        <v>0.12</v>
      </c>
      <c r="Q269" s="14" t="n">
        <v>11.5</v>
      </c>
      <c r="R269" s="14" t="n">
        <v>50</v>
      </c>
      <c r="S269" s="16">
        <f>J269*'الافتراضات'!$B$2*(1+'الافتراضات'!$B$3)</f>
        <v/>
      </c>
      <c r="T269" s="16">
        <f>L269*'الافتراضات'!$B$4</f>
        <v/>
      </c>
      <c r="U269" s="16">
        <f>(S269+T269)*'الافتراضات'!$B$5</f>
        <v/>
      </c>
      <c r="V269" s="16">
        <f>S269+T269+U269</f>
        <v/>
      </c>
      <c r="W269" s="16">
        <f>MAX(1,E269*P269)</f>
        <v/>
      </c>
      <c r="X269" s="16">
        <f>E269*'الافتراضات'!$B$7</f>
        <v/>
      </c>
      <c r="Y269" s="16">
        <f>E269*'الافتراضات'!$B$8</f>
        <v/>
      </c>
      <c r="Z269" s="16">
        <f>E269/(1+'الافتراضات'!$B$6)</f>
        <v/>
      </c>
      <c r="AA269" s="16">
        <f>Z269-V269-W269-Q269-X269-Y269</f>
        <v/>
      </c>
      <c r="AB269" s="17">
        <f>IF(Z269=0,0,AA269/Z269)</f>
        <v/>
      </c>
      <c r="AC269" s="17">
        <f>IF(V269=0,0,AA269/V269)</f>
        <v/>
      </c>
      <c r="AD269" s="18">
        <f>R269*V269</f>
        <v/>
      </c>
      <c r="AE269" s="16">
        <f>IF(AB269&gt;='الافتراضات'!$B$9,IF(O269="لا","ابدأ به","جيد – يحتاج شهادة"),IF(AB269&gt;='الافتراضات'!$B$10,"مقبول","ضعيف"))</f>
        <v/>
      </c>
      <c r="AF269" s="16">
        <f>IF((1-'الافتراضات'!$B$9)/(1+'الافتراضات'!$B$6)-P269-'الافتراضات'!$B$7-'الافتراضات'!$B$8&lt;=0,0,(V269+Q269)/((1-'الافتراضات'!$B$9)/(1+'الافتراضات'!$B$6)-P269-'الافتراضات'!$B$7-'الافتراضات'!$B$8))</f>
        <v/>
      </c>
    </row>
    <row r="270">
      <c r="A270" s="10" t="n">
        <v>269</v>
      </c>
      <c r="B270" s="11" t="inlineStr">
        <is>
          <t>المكتب والدراسة</t>
        </is>
      </c>
      <c r="C270" s="11" t="inlineStr">
        <is>
          <t>كتاب تلوين للكبار</t>
        </is>
      </c>
      <c r="D270" s="11" t="inlineStr">
        <is>
          <t>adult coloring book</t>
        </is>
      </c>
      <c r="E270" s="12" t="n">
        <v>25</v>
      </c>
      <c r="F270" s="10" t="inlineStr">
        <is>
          <t>تقدير</t>
        </is>
      </c>
      <c r="G270" s="10" t="inlineStr">
        <is>
          <t>تقدير</t>
        </is>
      </c>
      <c r="H270" s="10" t="inlineStr">
        <is>
          <t>لم تُفحص</t>
        </is>
      </c>
      <c r="I270" s="10" t="inlineStr">
        <is>
          <t>لم يُفحص</t>
        </is>
      </c>
      <c r="J270" s="13" t="n">
        <v>1.4</v>
      </c>
      <c r="K270" s="11" t="inlineStr">
        <is>
          <t>تقدير</t>
        </is>
      </c>
      <c r="L270" s="14" t="n">
        <v>0.3</v>
      </c>
      <c r="M270" s="10" t="inlineStr">
        <is>
          <t>صغير</t>
        </is>
      </c>
      <c r="N270" s="11" t="inlineStr">
        <is>
          <t>طوال السنة</t>
        </is>
      </c>
      <c r="O270" s="11" t="inlineStr">
        <is>
          <t>لا</t>
        </is>
      </c>
      <c r="P270" s="15" t="n">
        <v>0.12</v>
      </c>
      <c r="Q270" s="14" t="n">
        <v>7.5</v>
      </c>
      <c r="R270" s="14" t="n">
        <v>50</v>
      </c>
      <c r="S270" s="16">
        <f>J270*'الافتراضات'!$B$2*(1+'الافتراضات'!$B$3)</f>
        <v/>
      </c>
      <c r="T270" s="16">
        <f>L270*'الافتراضات'!$B$4</f>
        <v/>
      </c>
      <c r="U270" s="16">
        <f>(S270+T270)*'الافتراضات'!$B$5</f>
        <v/>
      </c>
      <c r="V270" s="16">
        <f>S270+T270+U270</f>
        <v/>
      </c>
      <c r="W270" s="16">
        <f>MAX(1,E270*P270)</f>
        <v/>
      </c>
      <c r="X270" s="16">
        <f>E270*'الافتراضات'!$B$7</f>
        <v/>
      </c>
      <c r="Y270" s="16">
        <f>E270*'الافتراضات'!$B$8</f>
        <v/>
      </c>
      <c r="Z270" s="16">
        <f>E270/(1+'الافتراضات'!$B$6)</f>
        <v/>
      </c>
      <c r="AA270" s="16">
        <f>Z270-V270-W270-Q270-X270-Y270</f>
        <v/>
      </c>
      <c r="AB270" s="17">
        <f>IF(Z270=0,0,AA270/Z270)</f>
        <v/>
      </c>
      <c r="AC270" s="17">
        <f>IF(V270=0,0,AA270/V270)</f>
        <v/>
      </c>
      <c r="AD270" s="18">
        <f>R270*V270</f>
        <v/>
      </c>
      <c r="AE270" s="16">
        <f>IF(AB270&gt;='الافتراضات'!$B$9,IF(O270="لا","ابدأ به","جيد – يحتاج شهادة"),IF(AB270&gt;='الافتراضات'!$B$10,"مقبول","ضعيف"))</f>
        <v/>
      </c>
      <c r="AF270" s="16">
        <f>IF((1-'الافتراضات'!$B$9)/(1+'الافتراضات'!$B$6)-P270-'الافتراضات'!$B$7-'الافتراضات'!$B$8&lt;=0,0,(V270+Q270)/((1-'الافتراضات'!$B$9)/(1+'الافتراضات'!$B$6)-P270-'الافتراضات'!$B$7-'الافتراضات'!$B$8))</f>
        <v/>
      </c>
    </row>
    <row r="271">
      <c r="A271" s="10" t="n">
        <v>270</v>
      </c>
      <c r="B271" s="11" t="inlineStr">
        <is>
          <t>المكتب والدراسة</t>
        </is>
      </c>
      <c r="C271" s="11" t="inlineStr">
        <is>
          <t>مجلد أكورديون</t>
        </is>
      </c>
      <c r="D271" s="11" t="inlineStr">
        <is>
          <t>expanding file folder</t>
        </is>
      </c>
      <c r="E271" s="12" t="n">
        <v>25</v>
      </c>
      <c r="F271" s="10" t="inlineStr">
        <is>
          <t>تقدير</t>
        </is>
      </c>
      <c r="G271" s="10" t="inlineStr">
        <is>
          <t>تقدير</t>
        </is>
      </c>
      <c r="H271" s="10" t="inlineStr">
        <is>
          <t>لم تُفحص</t>
        </is>
      </c>
      <c r="I271" s="10" t="inlineStr">
        <is>
          <t>لم يُفحص</t>
        </is>
      </c>
      <c r="J271" s="13" t="n">
        <v>1.4</v>
      </c>
      <c r="K271" s="11" t="inlineStr">
        <is>
          <t>تقدير</t>
        </is>
      </c>
      <c r="L271" s="14" t="n">
        <v>0.3</v>
      </c>
      <c r="M271" s="10" t="inlineStr">
        <is>
          <t>صغير</t>
        </is>
      </c>
      <c r="N271" s="11" t="inlineStr">
        <is>
          <t>طوال السنة</t>
        </is>
      </c>
      <c r="O271" s="11" t="inlineStr">
        <is>
          <t>لا</t>
        </is>
      </c>
      <c r="P271" s="15" t="n">
        <v>0.12</v>
      </c>
      <c r="Q271" s="14" t="n">
        <v>7.5</v>
      </c>
      <c r="R271" s="14" t="n">
        <v>50</v>
      </c>
      <c r="S271" s="16">
        <f>J271*'الافتراضات'!$B$2*(1+'الافتراضات'!$B$3)</f>
        <v/>
      </c>
      <c r="T271" s="16">
        <f>L271*'الافتراضات'!$B$4</f>
        <v/>
      </c>
      <c r="U271" s="16">
        <f>(S271+T271)*'الافتراضات'!$B$5</f>
        <v/>
      </c>
      <c r="V271" s="16">
        <f>S271+T271+U271</f>
        <v/>
      </c>
      <c r="W271" s="16">
        <f>MAX(1,E271*P271)</f>
        <v/>
      </c>
      <c r="X271" s="16">
        <f>E271*'الافتراضات'!$B$7</f>
        <v/>
      </c>
      <c r="Y271" s="16">
        <f>E271*'الافتراضات'!$B$8</f>
        <v/>
      </c>
      <c r="Z271" s="16">
        <f>E271/(1+'الافتراضات'!$B$6)</f>
        <v/>
      </c>
      <c r="AA271" s="16">
        <f>Z271-V271-W271-Q271-X271-Y271</f>
        <v/>
      </c>
      <c r="AB271" s="17">
        <f>IF(Z271=0,0,AA271/Z271)</f>
        <v/>
      </c>
      <c r="AC271" s="17">
        <f>IF(V271=0,0,AA271/V271)</f>
        <v/>
      </c>
      <c r="AD271" s="18">
        <f>R271*V271</f>
        <v/>
      </c>
      <c r="AE271" s="16">
        <f>IF(AB271&gt;='الافتراضات'!$B$9,IF(O271="لا","ابدأ به","جيد – يحتاج شهادة"),IF(AB271&gt;='الافتراضات'!$B$10,"مقبول","ضعيف"))</f>
        <v/>
      </c>
      <c r="AF271" s="16">
        <f>IF((1-'الافتراضات'!$B$9)/(1+'الافتراضات'!$B$6)-P271-'الافتراضات'!$B$7-'الافتراضات'!$B$8&lt;=0,0,(V271+Q271)/((1-'الافتراضات'!$B$9)/(1+'الافتراضات'!$B$6)-P271-'الافتراضات'!$B$7-'الافتراضات'!$B$8))</f>
        <v/>
      </c>
    </row>
    <row r="272">
      <c r="A272" s="10" t="n">
        <v>271</v>
      </c>
      <c r="B272" s="11" t="inlineStr">
        <is>
          <t>المنزل والمطبخ</t>
        </is>
      </c>
      <c r="C272" s="11" t="inlineStr">
        <is>
          <t>رأس دش ضغط عالي</t>
        </is>
      </c>
      <c r="D272" s="11" t="inlineStr">
        <is>
          <t>high pressure shower head</t>
        </is>
      </c>
      <c r="E272" s="12" t="n">
        <v>25</v>
      </c>
      <c r="F272" s="10" t="inlineStr">
        <is>
          <t>تقدير</t>
        </is>
      </c>
      <c r="G272" s="10" t="inlineStr">
        <is>
          <t>تقدير</t>
        </is>
      </c>
      <c r="H272" s="10" t="inlineStr">
        <is>
          <t>لم تُفحص</t>
        </is>
      </c>
      <c r="I272" s="10" t="inlineStr">
        <is>
          <t>لم يُفحص</t>
        </is>
      </c>
      <c r="J272" s="13" t="n">
        <v>1.5</v>
      </c>
      <c r="K272" s="11" t="inlineStr">
        <is>
          <t>تقدير</t>
        </is>
      </c>
      <c r="L272" s="14" t="n">
        <v>0.25</v>
      </c>
      <c r="M272" s="10" t="inlineStr">
        <is>
          <t>صغير</t>
        </is>
      </c>
      <c r="N272" s="11" t="inlineStr">
        <is>
          <t>طوال السنة</t>
        </is>
      </c>
      <c r="O272" s="11" t="inlineStr">
        <is>
          <t>لا</t>
        </is>
      </c>
      <c r="P272" s="15" t="n">
        <v>0.14</v>
      </c>
      <c r="Q272" s="14" t="n">
        <v>7</v>
      </c>
      <c r="R272" s="14" t="n">
        <v>50</v>
      </c>
      <c r="S272" s="16">
        <f>J272*'الافتراضات'!$B$2*(1+'الافتراضات'!$B$3)</f>
        <v/>
      </c>
      <c r="T272" s="16">
        <f>L272*'الافتراضات'!$B$4</f>
        <v/>
      </c>
      <c r="U272" s="16">
        <f>(S272+T272)*'الافتراضات'!$B$5</f>
        <v/>
      </c>
      <c r="V272" s="16">
        <f>S272+T272+U272</f>
        <v/>
      </c>
      <c r="W272" s="16">
        <f>MAX(1,E272*P272)</f>
        <v/>
      </c>
      <c r="X272" s="16">
        <f>E272*'الافتراضات'!$B$7</f>
        <v/>
      </c>
      <c r="Y272" s="16">
        <f>E272*'الافتراضات'!$B$8</f>
        <v/>
      </c>
      <c r="Z272" s="16">
        <f>E272/(1+'الافتراضات'!$B$6)</f>
        <v/>
      </c>
      <c r="AA272" s="16">
        <f>Z272-V272-W272-Q272-X272-Y272</f>
        <v/>
      </c>
      <c r="AB272" s="17">
        <f>IF(Z272=0,0,AA272/Z272)</f>
        <v/>
      </c>
      <c r="AC272" s="17">
        <f>IF(V272=0,0,AA272/V272)</f>
        <v/>
      </c>
      <c r="AD272" s="18">
        <f>R272*V272</f>
        <v/>
      </c>
      <c r="AE272" s="16">
        <f>IF(AB272&gt;='الافتراضات'!$B$9,IF(O272="لا","ابدأ به","جيد – يحتاج شهادة"),IF(AB272&gt;='الافتراضات'!$B$10,"مقبول","ضعيف"))</f>
        <v/>
      </c>
      <c r="AF272" s="16">
        <f>IF((1-'الافتراضات'!$B$9)/(1+'الافتراضات'!$B$6)-P272-'الافتراضات'!$B$7-'الافتراضات'!$B$8&lt;=0,0,(V272+Q272)/((1-'الافتراضات'!$B$9)/(1+'الافتراضات'!$B$6)-P272-'الافتراضات'!$B$7-'الافتراضات'!$B$8))</f>
        <v/>
      </c>
    </row>
    <row r="273">
      <c r="A273" s="10" t="n">
        <v>272</v>
      </c>
      <c r="B273" s="11" t="inlineStr">
        <is>
          <t>رمضان والمناسبات</t>
        </is>
      </c>
      <c r="C273" s="11" t="inlineStr">
        <is>
          <t>زينة العيد لوحة خلفية</t>
        </is>
      </c>
      <c r="D273" s="11" t="inlineStr">
        <is>
          <t>eid mubarak backdrop banner</t>
        </is>
      </c>
      <c r="E273" s="12" t="n">
        <v>25</v>
      </c>
      <c r="F273" s="10" t="inlineStr">
        <is>
          <t>تقدير</t>
        </is>
      </c>
      <c r="G273" s="10" t="inlineStr">
        <is>
          <t>تقدير</t>
        </is>
      </c>
      <c r="H273" s="10" t="inlineStr">
        <is>
          <t>لم تُفحص</t>
        </is>
      </c>
      <c r="I273" s="10" t="inlineStr">
        <is>
          <t>لم يُفحص</t>
        </is>
      </c>
      <c r="J273" s="13" t="n">
        <v>1.5</v>
      </c>
      <c r="K273" s="11" t="inlineStr">
        <is>
          <t>تقدير</t>
        </is>
      </c>
      <c r="L273" s="14" t="n">
        <v>0.25</v>
      </c>
      <c r="M273" s="10" t="inlineStr">
        <is>
          <t>صغير</t>
        </is>
      </c>
      <c r="N273" s="11" t="inlineStr">
        <is>
          <t>رمضان والمناسبات</t>
        </is>
      </c>
      <c r="O273" s="11" t="inlineStr">
        <is>
          <t>لا</t>
        </is>
      </c>
      <c r="P273" s="15" t="n">
        <v>0.14</v>
      </c>
      <c r="Q273" s="14" t="n">
        <v>7</v>
      </c>
      <c r="R273" s="14" t="n">
        <v>50</v>
      </c>
      <c r="S273" s="16">
        <f>J273*'الافتراضات'!$B$2*(1+'الافتراضات'!$B$3)</f>
        <v/>
      </c>
      <c r="T273" s="16">
        <f>L273*'الافتراضات'!$B$4</f>
        <v/>
      </c>
      <c r="U273" s="16">
        <f>(S273+T273)*'الافتراضات'!$B$5</f>
        <v/>
      </c>
      <c r="V273" s="16">
        <f>S273+T273+U273</f>
        <v/>
      </c>
      <c r="W273" s="16">
        <f>MAX(1,E273*P273)</f>
        <v/>
      </c>
      <c r="X273" s="16">
        <f>E273*'الافتراضات'!$B$7</f>
        <v/>
      </c>
      <c r="Y273" s="16">
        <f>E273*'الافتراضات'!$B$8</f>
        <v/>
      </c>
      <c r="Z273" s="16">
        <f>E273/(1+'الافتراضات'!$B$6)</f>
        <v/>
      </c>
      <c r="AA273" s="16">
        <f>Z273-V273-W273-Q273-X273-Y273</f>
        <v/>
      </c>
      <c r="AB273" s="17">
        <f>IF(Z273=0,0,AA273/Z273)</f>
        <v/>
      </c>
      <c r="AC273" s="17">
        <f>IF(V273=0,0,AA273/V273)</f>
        <v/>
      </c>
      <c r="AD273" s="18">
        <f>R273*V273</f>
        <v/>
      </c>
      <c r="AE273" s="16">
        <f>IF(AB273&gt;='الافتراضات'!$B$9,IF(O273="لا","ابدأ به","جيد – يحتاج شهادة"),IF(AB273&gt;='الافتراضات'!$B$10,"مقبول","ضعيف"))</f>
        <v/>
      </c>
      <c r="AF273" s="16">
        <f>IF((1-'الافتراضات'!$B$9)/(1+'الافتراضات'!$B$6)-P273-'الافتراضات'!$B$7-'الافتراضات'!$B$8&lt;=0,0,(V273+Q273)/((1-'الافتراضات'!$B$9)/(1+'الافتراضات'!$B$6)-P273-'الافتراضات'!$B$7-'الافتراضات'!$B$8))</f>
        <v/>
      </c>
    </row>
    <row r="274">
      <c r="A274" s="10" t="n">
        <v>273</v>
      </c>
      <c r="B274" s="11" t="inlineStr">
        <is>
          <t>رمضان والمناسبات</t>
        </is>
      </c>
      <c r="C274" s="11" t="inlineStr">
        <is>
          <t>سجادة صلاة محمولة جيب</t>
        </is>
      </c>
      <c r="D274" s="11" t="inlineStr">
        <is>
          <t>portable pocket prayer mat</t>
        </is>
      </c>
      <c r="E274" s="12" t="n">
        <v>25</v>
      </c>
      <c r="F274" s="10" t="inlineStr">
        <is>
          <t>تقدير</t>
        </is>
      </c>
      <c r="G274" s="10" t="inlineStr">
        <is>
          <t>تقدير</t>
        </is>
      </c>
      <c r="H274" s="10" t="inlineStr">
        <is>
          <t>لم تُفحص</t>
        </is>
      </c>
      <c r="I274" s="10" t="inlineStr">
        <is>
          <t>لم يُفحص</t>
        </is>
      </c>
      <c r="J274" s="13" t="n">
        <v>1.6</v>
      </c>
      <c r="K274" s="11" t="inlineStr">
        <is>
          <t>تقدير</t>
        </is>
      </c>
      <c r="L274" s="14" t="n">
        <v>0.2</v>
      </c>
      <c r="M274" s="10" t="inlineStr">
        <is>
          <t>صغير</t>
        </is>
      </c>
      <c r="N274" s="11" t="inlineStr">
        <is>
          <t>رمضان والمناسبات</t>
        </is>
      </c>
      <c r="O274" s="11" t="inlineStr">
        <is>
          <t>لا</t>
        </is>
      </c>
      <c r="P274" s="15" t="n">
        <v>0.14</v>
      </c>
      <c r="Q274" s="14" t="n">
        <v>7</v>
      </c>
      <c r="R274" s="14" t="n">
        <v>50</v>
      </c>
      <c r="S274" s="16">
        <f>J274*'الافتراضات'!$B$2*(1+'الافتراضات'!$B$3)</f>
        <v/>
      </c>
      <c r="T274" s="16">
        <f>L274*'الافتراضات'!$B$4</f>
        <v/>
      </c>
      <c r="U274" s="16">
        <f>(S274+T274)*'الافتراضات'!$B$5</f>
        <v/>
      </c>
      <c r="V274" s="16">
        <f>S274+T274+U274</f>
        <v/>
      </c>
      <c r="W274" s="16">
        <f>MAX(1,E274*P274)</f>
        <v/>
      </c>
      <c r="X274" s="16">
        <f>E274*'الافتراضات'!$B$7</f>
        <v/>
      </c>
      <c r="Y274" s="16">
        <f>E274*'الافتراضات'!$B$8</f>
        <v/>
      </c>
      <c r="Z274" s="16">
        <f>E274/(1+'الافتراضات'!$B$6)</f>
        <v/>
      </c>
      <c r="AA274" s="16">
        <f>Z274-V274-W274-Q274-X274-Y274</f>
        <v/>
      </c>
      <c r="AB274" s="17">
        <f>IF(Z274=0,0,AA274/Z274)</f>
        <v/>
      </c>
      <c r="AC274" s="17">
        <f>IF(V274=0,0,AA274/V274)</f>
        <v/>
      </c>
      <c r="AD274" s="18">
        <f>R274*V274</f>
        <v/>
      </c>
      <c r="AE274" s="16">
        <f>IF(AB274&gt;='الافتراضات'!$B$9,IF(O274="لا","ابدأ به","جيد – يحتاج شهادة"),IF(AB274&gt;='الافتراضات'!$B$10,"مقبول","ضعيف"))</f>
        <v/>
      </c>
      <c r="AF274" s="16">
        <f>IF((1-'الافتراضات'!$B$9)/(1+'الافتراضات'!$B$6)-P274-'الافتراضات'!$B$7-'الافتراضات'!$B$8&lt;=0,0,(V274+Q274)/((1-'الافتراضات'!$B$9)/(1+'الافتراضات'!$B$6)-P274-'الافتراضات'!$B$7-'الافتراضات'!$B$8))</f>
        <v/>
      </c>
    </row>
    <row r="275">
      <c r="A275" s="10" t="n">
        <v>274</v>
      </c>
      <c r="B275" s="11" t="inlineStr">
        <is>
          <t>الأمان المنزلي</t>
        </is>
      </c>
      <c r="C275" s="11" t="inlineStr">
        <is>
          <t>حامل كاميرا مراقبة</t>
        </is>
      </c>
      <c r="D275" s="11" t="inlineStr">
        <is>
          <t>security camera mount</t>
        </is>
      </c>
      <c r="E275" s="12" t="n">
        <v>25</v>
      </c>
      <c r="F275" s="10" t="inlineStr">
        <is>
          <t>تقدير</t>
        </is>
      </c>
      <c r="G275" s="10" t="inlineStr">
        <is>
          <t>تقدير</t>
        </is>
      </c>
      <c r="H275" s="10" t="inlineStr">
        <is>
          <t>لم تُفحص</t>
        </is>
      </c>
      <c r="I275" s="10" t="inlineStr">
        <is>
          <t>لم يُفحص</t>
        </is>
      </c>
      <c r="J275" s="13" t="n">
        <v>1.6</v>
      </c>
      <c r="K275" s="11" t="inlineStr">
        <is>
          <t>تقدير</t>
        </is>
      </c>
      <c r="L275" s="14" t="n">
        <v>0.2</v>
      </c>
      <c r="M275" s="10" t="inlineStr">
        <is>
          <t>صغير</t>
        </is>
      </c>
      <c r="N275" s="11" t="inlineStr">
        <is>
          <t>طوال السنة</t>
        </is>
      </c>
      <c r="O275" s="11" t="inlineStr">
        <is>
          <t>لا</t>
        </is>
      </c>
      <c r="P275" s="15" t="n">
        <v>0.14</v>
      </c>
      <c r="Q275" s="14" t="n">
        <v>7</v>
      </c>
      <c r="R275" s="14" t="n">
        <v>50</v>
      </c>
      <c r="S275" s="16">
        <f>J275*'الافتراضات'!$B$2*(1+'الافتراضات'!$B$3)</f>
        <v/>
      </c>
      <c r="T275" s="16">
        <f>L275*'الافتراضات'!$B$4</f>
        <v/>
      </c>
      <c r="U275" s="16">
        <f>(S275+T275)*'الافتراضات'!$B$5</f>
        <v/>
      </c>
      <c r="V275" s="16">
        <f>S275+T275+U275</f>
        <v/>
      </c>
      <c r="W275" s="16">
        <f>MAX(1,E275*P275)</f>
        <v/>
      </c>
      <c r="X275" s="16">
        <f>E275*'الافتراضات'!$B$7</f>
        <v/>
      </c>
      <c r="Y275" s="16">
        <f>E275*'الافتراضات'!$B$8</f>
        <v/>
      </c>
      <c r="Z275" s="16">
        <f>E275/(1+'الافتراضات'!$B$6)</f>
        <v/>
      </c>
      <c r="AA275" s="16">
        <f>Z275-V275-W275-Q275-X275-Y275</f>
        <v/>
      </c>
      <c r="AB275" s="17">
        <f>IF(Z275=0,0,AA275/Z275)</f>
        <v/>
      </c>
      <c r="AC275" s="17">
        <f>IF(V275=0,0,AA275/V275)</f>
        <v/>
      </c>
      <c r="AD275" s="18">
        <f>R275*V275</f>
        <v/>
      </c>
      <c r="AE275" s="16">
        <f>IF(AB275&gt;='الافتراضات'!$B$9,IF(O275="لا","ابدأ به","جيد – يحتاج شهادة"),IF(AB275&gt;='الافتراضات'!$B$10,"مقبول","ضعيف"))</f>
        <v/>
      </c>
      <c r="AF275" s="16">
        <f>IF((1-'الافتراضات'!$B$9)/(1+'الافتراضات'!$B$6)-P275-'الافتراضات'!$B$7-'الافتراضات'!$B$8&lt;=0,0,(V275+Q275)/((1-'الافتراضات'!$B$9)/(1+'الافتراضات'!$B$6)-P275-'الافتراضات'!$B$7-'الافتراضات'!$B$8))</f>
        <v/>
      </c>
    </row>
    <row r="276">
      <c r="A276" s="10" t="n">
        <v>275</v>
      </c>
      <c r="B276" s="11" t="inlineStr">
        <is>
          <t>التنظيف والغسيل</t>
        </is>
      </c>
      <c r="C276" s="11" t="inlineStr">
        <is>
          <t>مضرب ذباب كهربائي</t>
        </is>
      </c>
      <c r="D276" s="11" t="inlineStr">
        <is>
          <t>electric fly swatter</t>
        </is>
      </c>
      <c r="E276" s="12" t="n">
        <v>25</v>
      </c>
      <c r="F276" s="10" t="inlineStr">
        <is>
          <t>تقدير</t>
        </is>
      </c>
      <c r="G276" s="10" t="inlineStr">
        <is>
          <t>تقدير</t>
        </is>
      </c>
      <c r="H276" s="10" t="inlineStr">
        <is>
          <t>لم تُفحص</t>
        </is>
      </c>
      <c r="I276" s="10" t="inlineStr">
        <is>
          <t>لم يُفحص</t>
        </is>
      </c>
      <c r="J276" s="13" t="n">
        <v>1.6</v>
      </c>
      <c r="K276" s="11" t="inlineStr">
        <is>
          <t>تقدير</t>
        </is>
      </c>
      <c r="L276" s="14" t="n">
        <v>0.2</v>
      </c>
      <c r="M276" s="10" t="inlineStr">
        <is>
          <t>صغير</t>
        </is>
      </c>
      <c r="N276" s="11" t="inlineStr">
        <is>
          <t>الصيف</t>
        </is>
      </c>
      <c r="O276" s="11" t="inlineStr">
        <is>
          <t>SABER + بطارية ليثيوم</t>
        </is>
      </c>
      <c r="P276" s="15" t="n">
        <v>0.14</v>
      </c>
      <c r="Q276" s="14" t="n">
        <v>7</v>
      </c>
      <c r="R276" s="14" t="n">
        <v>50</v>
      </c>
      <c r="S276" s="16">
        <f>J276*'الافتراضات'!$B$2*(1+'الافتراضات'!$B$3)</f>
        <v/>
      </c>
      <c r="T276" s="16">
        <f>L276*'الافتراضات'!$B$4</f>
        <v/>
      </c>
      <c r="U276" s="16">
        <f>(S276+T276)*'الافتراضات'!$B$5</f>
        <v/>
      </c>
      <c r="V276" s="16">
        <f>S276+T276+U276</f>
        <v/>
      </c>
      <c r="W276" s="16">
        <f>MAX(1,E276*P276)</f>
        <v/>
      </c>
      <c r="X276" s="16">
        <f>E276*'الافتراضات'!$B$7</f>
        <v/>
      </c>
      <c r="Y276" s="16">
        <f>E276*'الافتراضات'!$B$8</f>
        <v/>
      </c>
      <c r="Z276" s="16">
        <f>E276/(1+'الافتراضات'!$B$6)</f>
        <v/>
      </c>
      <c r="AA276" s="16">
        <f>Z276-V276-W276-Q276-X276-Y276</f>
        <v/>
      </c>
      <c r="AB276" s="17">
        <f>IF(Z276=0,0,AA276/Z276)</f>
        <v/>
      </c>
      <c r="AC276" s="17">
        <f>IF(V276=0,0,AA276/V276)</f>
        <v/>
      </c>
      <c r="AD276" s="18">
        <f>R276*V276</f>
        <v/>
      </c>
      <c r="AE276" s="16">
        <f>IF(AB276&gt;='الافتراضات'!$B$9,IF(O276="لا","ابدأ به","جيد – يحتاج شهادة"),IF(AB276&gt;='الافتراضات'!$B$10,"مقبول","ضعيف"))</f>
        <v/>
      </c>
      <c r="AF276" s="16">
        <f>IF((1-'الافتراضات'!$B$9)/(1+'الافتراضات'!$B$6)-P276-'الافتراضات'!$B$7-'الافتراضات'!$B$8&lt;=0,0,(V276+Q276)/((1-'الافتراضات'!$B$9)/(1+'الافتراضات'!$B$6)-P276-'الافتراضات'!$B$7-'الافتراضات'!$B$8))</f>
        <v/>
      </c>
    </row>
    <row r="277">
      <c r="A277" s="10" t="n">
        <v>276</v>
      </c>
      <c r="B277" s="11" t="inlineStr">
        <is>
          <t>إكسسوارات الجوال والإلكترونيات</t>
        </is>
      </c>
      <c r="C277" s="11" t="inlineStr">
        <is>
          <t>مشترك كهرباء ذكي 6 مخارج مع USB</t>
        </is>
      </c>
      <c r="D277" s="11" t="inlineStr">
        <is>
          <t>power strip usb 6 outlets</t>
        </is>
      </c>
      <c r="E277" s="12" t="n">
        <v>62</v>
      </c>
      <c r="F277" s="10" t="inlineStr">
        <is>
          <t>تقدير</t>
        </is>
      </c>
      <c r="G277" s="10" t="inlineStr">
        <is>
          <t>تقدير</t>
        </is>
      </c>
      <c r="H277" s="10" t="inlineStr">
        <is>
          <t>لم تُفحص</t>
        </is>
      </c>
      <c r="I277" s="10" t="inlineStr">
        <is>
          <t>لم يُفحص</t>
        </is>
      </c>
      <c r="J277" s="13" t="n">
        <v>5.5</v>
      </c>
      <c r="K277" s="11" t="inlineStr">
        <is>
          <t>تقدير</t>
        </is>
      </c>
      <c r="L277" s="14" t="n">
        <v>0.6</v>
      </c>
      <c r="M277" s="10" t="inlineStr">
        <is>
          <t>متوسط</t>
        </is>
      </c>
      <c r="N277" s="11" t="inlineStr">
        <is>
          <t>طوال السنة</t>
        </is>
      </c>
      <c r="O277" s="11" t="inlineStr">
        <is>
          <t>SABER</t>
        </is>
      </c>
      <c r="P277" s="15" t="n">
        <v>0.14</v>
      </c>
      <c r="Q277" s="14" t="n">
        <v>10</v>
      </c>
      <c r="R277" s="14" t="n">
        <v>50</v>
      </c>
      <c r="S277" s="16">
        <f>J277*'الافتراضات'!$B$2*(1+'الافتراضات'!$B$3)</f>
        <v/>
      </c>
      <c r="T277" s="16">
        <f>L277*'الافتراضات'!$B$4</f>
        <v/>
      </c>
      <c r="U277" s="16">
        <f>(S277+T277)*'الافتراضات'!$B$5</f>
        <v/>
      </c>
      <c r="V277" s="16">
        <f>S277+T277+U277</f>
        <v/>
      </c>
      <c r="W277" s="16">
        <f>MAX(1,E277*P277)</f>
        <v/>
      </c>
      <c r="X277" s="16">
        <f>E277*'الافتراضات'!$B$7</f>
        <v/>
      </c>
      <c r="Y277" s="16">
        <f>E277*'الافتراضات'!$B$8</f>
        <v/>
      </c>
      <c r="Z277" s="16">
        <f>E277/(1+'الافتراضات'!$B$6)</f>
        <v/>
      </c>
      <c r="AA277" s="16">
        <f>Z277-V277-W277-Q277-X277-Y277</f>
        <v/>
      </c>
      <c r="AB277" s="17">
        <f>IF(Z277=0,0,AA277/Z277)</f>
        <v/>
      </c>
      <c r="AC277" s="17">
        <f>IF(V277=0,0,AA277/V277)</f>
        <v/>
      </c>
      <c r="AD277" s="18">
        <f>R277*V277</f>
        <v/>
      </c>
      <c r="AE277" s="16">
        <f>IF(AB277&gt;='الافتراضات'!$B$9,IF(O277="لا","ابدأ به","جيد – يحتاج شهادة"),IF(AB277&gt;='الافتراضات'!$B$10,"مقبول","ضعيف"))</f>
        <v/>
      </c>
      <c r="AF277" s="16">
        <f>IF((1-'الافتراضات'!$B$9)/(1+'الافتراضات'!$B$6)-P277-'الافتراضات'!$B$7-'الافتراضات'!$B$8&lt;=0,0,(V277+Q277)/((1-'الافتراضات'!$B$9)/(1+'الافتراضات'!$B$6)-P277-'الافتراضات'!$B$7-'الافتراضات'!$B$8))</f>
        <v/>
      </c>
    </row>
    <row r="278">
      <c r="A278" s="10" t="n">
        <v>277</v>
      </c>
      <c r="B278" s="11" t="inlineStr">
        <is>
          <t>الإضاءة والديكور</t>
        </is>
      </c>
      <c r="C278" s="11" t="inlineStr">
        <is>
          <t>لوحة جدارية ديكور</t>
        </is>
      </c>
      <c r="D278" s="11" t="inlineStr">
        <is>
          <t>wall art canvas set</t>
        </is>
      </c>
      <c r="E278" s="12" t="n">
        <v>91</v>
      </c>
      <c r="F278" s="10" t="inlineStr">
        <is>
          <t>تقدير</t>
        </is>
      </c>
      <c r="G278" s="10" t="inlineStr">
        <is>
          <t>تقدير</t>
        </is>
      </c>
      <c r="H278" s="10" t="inlineStr">
        <is>
          <t>لم تُفحص</t>
        </is>
      </c>
      <c r="I278" s="10" t="inlineStr">
        <is>
          <t>لم يُفحص</t>
        </is>
      </c>
      <c r="J278" s="13" t="n">
        <v>8</v>
      </c>
      <c r="K278" s="11" t="inlineStr">
        <is>
          <t>تقدير</t>
        </is>
      </c>
      <c r="L278" s="14" t="n">
        <v>1</v>
      </c>
      <c r="M278" s="10" t="inlineStr">
        <is>
          <t>كبير</t>
        </is>
      </c>
      <c r="N278" s="11" t="inlineStr">
        <is>
          <t>طوال السنة</t>
        </is>
      </c>
      <c r="O278" s="11" t="inlineStr">
        <is>
          <t>لا</t>
        </is>
      </c>
      <c r="P278" s="15" t="n">
        <v>0.14</v>
      </c>
      <c r="Q278" s="14" t="n">
        <v>14</v>
      </c>
      <c r="R278" s="14" t="n">
        <v>50</v>
      </c>
      <c r="S278" s="16">
        <f>J278*'الافتراضات'!$B$2*(1+'الافتراضات'!$B$3)</f>
        <v/>
      </c>
      <c r="T278" s="16">
        <f>L278*'الافتراضات'!$B$4</f>
        <v/>
      </c>
      <c r="U278" s="16">
        <f>(S278+T278)*'الافتراضات'!$B$5</f>
        <v/>
      </c>
      <c r="V278" s="16">
        <f>S278+T278+U278</f>
        <v/>
      </c>
      <c r="W278" s="16">
        <f>MAX(1,E278*P278)</f>
        <v/>
      </c>
      <c r="X278" s="16">
        <f>E278*'الافتراضات'!$B$7</f>
        <v/>
      </c>
      <c r="Y278" s="16">
        <f>E278*'الافتراضات'!$B$8</f>
        <v/>
      </c>
      <c r="Z278" s="16">
        <f>E278/(1+'الافتراضات'!$B$6)</f>
        <v/>
      </c>
      <c r="AA278" s="16">
        <f>Z278-V278-W278-Q278-X278-Y278</f>
        <v/>
      </c>
      <c r="AB278" s="17">
        <f>IF(Z278=0,0,AA278/Z278)</f>
        <v/>
      </c>
      <c r="AC278" s="17">
        <f>IF(V278=0,0,AA278/V278)</f>
        <v/>
      </c>
      <c r="AD278" s="18">
        <f>R278*V278</f>
        <v/>
      </c>
      <c r="AE278" s="16">
        <f>IF(AB278&gt;='الافتراضات'!$B$9,IF(O278="لا","ابدأ به","جيد – يحتاج شهادة"),IF(AB278&gt;='الافتراضات'!$B$10,"مقبول","ضعيف"))</f>
        <v/>
      </c>
      <c r="AF278" s="16">
        <f>IF((1-'الافتراضات'!$B$9)/(1+'الافتراضات'!$B$6)-P278-'الافتراضات'!$B$7-'الافتراضات'!$B$8&lt;=0,0,(V278+Q278)/((1-'الافتراضات'!$B$9)/(1+'الافتراضات'!$B$6)-P278-'الافتراضات'!$B$7-'الافتراضات'!$B$8))</f>
        <v/>
      </c>
    </row>
    <row r="279">
      <c r="A279" s="10" t="n">
        <v>278</v>
      </c>
      <c r="B279" s="11" t="inlineStr">
        <is>
          <t>الحديقة والخارج</t>
        </is>
      </c>
      <c r="C279" s="11" t="inlineStr">
        <is>
          <t>ستارة ظل للشرفة</t>
        </is>
      </c>
      <c r="D279" s="11" t="inlineStr">
        <is>
          <t>shade sail</t>
        </is>
      </c>
      <c r="E279" s="12" t="n">
        <v>91</v>
      </c>
      <c r="F279" s="10" t="inlineStr">
        <is>
          <t>تقدير</t>
        </is>
      </c>
      <c r="G279" s="10" t="inlineStr">
        <is>
          <t>تقدير</t>
        </is>
      </c>
      <c r="H279" s="10" t="inlineStr">
        <is>
          <t>لم تُفحص</t>
        </is>
      </c>
      <c r="I279" s="10" t="inlineStr">
        <is>
          <t>لم يُفحص</t>
        </is>
      </c>
      <c r="J279" s="13" t="n">
        <v>8</v>
      </c>
      <c r="K279" s="11" t="inlineStr">
        <is>
          <t>تقدير</t>
        </is>
      </c>
      <c r="L279" s="14" t="n">
        <v>1</v>
      </c>
      <c r="M279" s="10" t="inlineStr">
        <is>
          <t>كبير</t>
        </is>
      </c>
      <c r="N279" s="11" t="inlineStr">
        <is>
          <t>الصيف</t>
        </is>
      </c>
      <c r="O279" s="11" t="inlineStr">
        <is>
          <t>لا</t>
        </is>
      </c>
      <c r="P279" s="15" t="n">
        <v>0.14</v>
      </c>
      <c r="Q279" s="14" t="n">
        <v>14</v>
      </c>
      <c r="R279" s="14" t="n">
        <v>50</v>
      </c>
      <c r="S279" s="16">
        <f>J279*'الافتراضات'!$B$2*(1+'الافتراضات'!$B$3)</f>
        <v/>
      </c>
      <c r="T279" s="16">
        <f>L279*'الافتراضات'!$B$4</f>
        <v/>
      </c>
      <c r="U279" s="16">
        <f>(S279+T279)*'الافتراضات'!$B$5</f>
        <v/>
      </c>
      <c r="V279" s="16">
        <f>S279+T279+U279</f>
        <v/>
      </c>
      <c r="W279" s="16">
        <f>MAX(1,E279*P279)</f>
        <v/>
      </c>
      <c r="X279" s="16">
        <f>E279*'الافتراضات'!$B$7</f>
        <v/>
      </c>
      <c r="Y279" s="16">
        <f>E279*'الافتراضات'!$B$8</f>
        <v/>
      </c>
      <c r="Z279" s="16">
        <f>E279/(1+'الافتراضات'!$B$6)</f>
        <v/>
      </c>
      <c r="AA279" s="16">
        <f>Z279-V279-W279-Q279-X279-Y279</f>
        <v/>
      </c>
      <c r="AB279" s="17">
        <f>IF(Z279=0,0,AA279/Z279)</f>
        <v/>
      </c>
      <c r="AC279" s="17">
        <f>IF(V279=0,0,AA279/V279)</f>
        <v/>
      </c>
      <c r="AD279" s="18">
        <f>R279*V279</f>
        <v/>
      </c>
      <c r="AE279" s="16">
        <f>IF(AB279&gt;='الافتراضات'!$B$9,IF(O279="لا","ابدأ به","جيد – يحتاج شهادة"),IF(AB279&gt;='الافتراضات'!$B$10,"مقبول","ضعيف"))</f>
        <v/>
      </c>
      <c r="AF279" s="16">
        <f>IF((1-'الافتراضات'!$B$9)/(1+'الافتراضات'!$B$6)-P279-'الافتراضات'!$B$7-'الافتراضات'!$B$8&lt;=0,0,(V279+Q279)/((1-'الافتراضات'!$B$9)/(1+'الافتراضات'!$B$6)-P279-'الافتراضات'!$B$7-'الافتراضات'!$B$8))</f>
        <v/>
      </c>
    </row>
    <row r="280">
      <c r="A280" s="10" t="n">
        <v>279</v>
      </c>
      <c r="B280" s="11" t="inlineStr">
        <is>
          <t>المنزل والمطبخ</t>
        </is>
      </c>
      <c r="C280" s="11" t="inlineStr">
        <is>
          <t>بخاخ زيت للطبخ</t>
        </is>
      </c>
      <c r="D280" s="11" t="inlineStr">
        <is>
          <t>oil sprayer bottle kitchen</t>
        </is>
      </c>
      <c r="E280" s="12" t="n">
        <v>25</v>
      </c>
      <c r="F280" s="10" t="inlineStr">
        <is>
          <t>تقدير</t>
        </is>
      </c>
      <c r="G280" s="10" t="inlineStr">
        <is>
          <t>تقدير</t>
        </is>
      </c>
      <c r="H280" s="10" t="inlineStr">
        <is>
          <t>لم تُفحص</t>
        </is>
      </c>
      <c r="I280" s="10" t="inlineStr">
        <is>
          <t>لم يُفحص</t>
        </is>
      </c>
      <c r="J280" s="13" t="n">
        <v>1.2</v>
      </c>
      <c r="K280" s="11" t="inlineStr">
        <is>
          <t>تقدير</t>
        </is>
      </c>
      <c r="L280" s="14" t="n">
        <v>0.35</v>
      </c>
      <c r="M280" s="10" t="inlineStr">
        <is>
          <t>صغير</t>
        </is>
      </c>
      <c r="N280" s="11" t="inlineStr">
        <is>
          <t>طوال السنة</t>
        </is>
      </c>
      <c r="O280" s="11" t="inlineStr">
        <is>
          <t>ملامس للغذاء (SFDA)</t>
        </is>
      </c>
      <c r="P280" s="15" t="n">
        <v>0.14</v>
      </c>
      <c r="Q280" s="14" t="n">
        <v>7.5</v>
      </c>
      <c r="R280" s="14" t="n">
        <v>50</v>
      </c>
      <c r="S280" s="16">
        <f>J280*'الافتراضات'!$B$2*(1+'الافتراضات'!$B$3)</f>
        <v/>
      </c>
      <c r="T280" s="16">
        <f>L280*'الافتراضات'!$B$4</f>
        <v/>
      </c>
      <c r="U280" s="16">
        <f>(S280+T280)*'الافتراضات'!$B$5</f>
        <v/>
      </c>
      <c r="V280" s="16">
        <f>S280+T280+U280</f>
        <v/>
      </c>
      <c r="W280" s="16">
        <f>MAX(1,E280*P280)</f>
        <v/>
      </c>
      <c r="X280" s="16">
        <f>E280*'الافتراضات'!$B$7</f>
        <v/>
      </c>
      <c r="Y280" s="16">
        <f>E280*'الافتراضات'!$B$8</f>
        <v/>
      </c>
      <c r="Z280" s="16">
        <f>E280/(1+'الافتراضات'!$B$6)</f>
        <v/>
      </c>
      <c r="AA280" s="16">
        <f>Z280-V280-W280-Q280-X280-Y280</f>
        <v/>
      </c>
      <c r="AB280" s="17">
        <f>IF(Z280=0,0,AA280/Z280)</f>
        <v/>
      </c>
      <c r="AC280" s="17">
        <f>IF(V280=0,0,AA280/V280)</f>
        <v/>
      </c>
      <c r="AD280" s="18">
        <f>R280*V280</f>
        <v/>
      </c>
      <c r="AE280" s="16">
        <f>IF(AB280&gt;='الافتراضات'!$B$9,IF(O280="لا","ابدأ به","جيد – يحتاج شهادة"),IF(AB280&gt;='الافتراضات'!$B$10,"مقبول","ضعيف"))</f>
        <v/>
      </c>
      <c r="AF280" s="16">
        <f>IF((1-'الافتراضات'!$B$9)/(1+'الافتراضات'!$B$6)-P280-'الافتراضات'!$B$7-'الافتراضات'!$B$8&lt;=0,0,(V280+Q280)/((1-'الافتراضات'!$B$9)/(1+'الافتراضات'!$B$6)-P280-'الافتراضات'!$B$7-'الافتراضات'!$B$8))</f>
        <v/>
      </c>
    </row>
    <row r="281">
      <c r="A281" s="10" t="n">
        <v>280</v>
      </c>
      <c r="B281" s="11" t="inlineStr">
        <is>
          <t>التخييم والسفر</t>
        </is>
      </c>
      <c r="C281" s="11" t="inlineStr">
        <is>
          <t>حقيبة سفر صلبة 24 بوصة</t>
        </is>
      </c>
      <c r="D281" s="11" t="inlineStr">
        <is>
          <t>hard shell suitcase 24 inch</t>
        </is>
      </c>
      <c r="E281" s="12" t="n">
        <v>249</v>
      </c>
      <c r="F281" s="10" t="inlineStr">
        <is>
          <t>تقدير</t>
        </is>
      </c>
      <c r="G281" s="10" t="inlineStr">
        <is>
          <t>تقدير</t>
        </is>
      </c>
      <c r="H281" s="10" t="inlineStr">
        <is>
          <t>لم تُفحص</t>
        </is>
      </c>
      <c r="I281" s="10" t="inlineStr">
        <is>
          <t>لم يُفحص</t>
        </is>
      </c>
      <c r="J281" s="13" t="n">
        <v>22</v>
      </c>
      <c r="K281" s="11" t="inlineStr">
        <is>
          <t>تقدير</t>
        </is>
      </c>
      <c r="L281" s="14" t="n">
        <v>3.5</v>
      </c>
      <c r="M281" s="10" t="inlineStr">
        <is>
          <t>كبير</t>
        </is>
      </c>
      <c r="N281" s="11" t="inlineStr">
        <is>
          <t>طوال السنة</t>
        </is>
      </c>
      <c r="O281" s="11" t="inlineStr">
        <is>
          <t>لا</t>
        </is>
      </c>
      <c r="P281" s="15" t="n">
        <v>0.2</v>
      </c>
      <c r="Q281" s="14" t="n">
        <v>17</v>
      </c>
      <c r="R281" s="14" t="n">
        <v>50</v>
      </c>
      <c r="S281" s="16">
        <f>J281*'الافتراضات'!$B$2*(1+'الافتراضات'!$B$3)</f>
        <v/>
      </c>
      <c r="T281" s="16">
        <f>L281*'الافتراضات'!$B$4</f>
        <v/>
      </c>
      <c r="U281" s="16">
        <f>(S281+T281)*'الافتراضات'!$B$5</f>
        <v/>
      </c>
      <c r="V281" s="16">
        <f>S281+T281+U281</f>
        <v/>
      </c>
      <c r="W281" s="16">
        <f>MAX(1,E281*P281)</f>
        <v/>
      </c>
      <c r="X281" s="16">
        <f>E281*'الافتراضات'!$B$7</f>
        <v/>
      </c>
      <c r="Y281" s="16">
        <f>E281*'الافتراضات'!$B$8</f>
        <v/>
      </c>
      <c r="Z281" s="16">
        <f>E281/(1+'الافتراضات'!$B$6)</f>
        <v/>
      </c>
      <c r="AA281" s="16">
        <f>Z281-V281-W281-Q281-X281-Y281</f>
        <v/>
      </c>
      <c r="AB281" s="17">
        <f>IF(Z281=0,0,AA281/Z281)</f>
        <v/>
      </c>
      <c r="AC281" s="17">
        <f>IF(V281=0,0,AA281/V281)</f>
        <v/>
      </c>
      <c r="AD281" s="18">
        <f>R281*V281</f>
        <v/>
      </c>
      <c r="AE281" s="16">
        <f>IF(AB281&gt;='الافتراضات'!$B$9,IF(O281="لا","ابدأ به","جيد – يحتاج شهادة"),IF(AB281&gt;='الافتراضات'!$B$10,"مقبول","ضعيف"))</f>
        <v/>
      </c>
      <c r="AF281" s="16">
        <f>IF((1-'الافتراضات'!$B$9)/(1+'الافتراضات'!$B$6)-P281-'الافتراضات'!$B$7-'الافتراضات'!$B$8&lt;=0,0,(V281+Q281)/((1-'الافتراضات'!$B$9)/(1+'الافتراضات'!$B$6)-P281-'الافتراضات'!$B$7-'الافتراضات'!$B$8))</f>
        <v/>
      </c>
    </row>
    <row r="282">
      <c r="A282" s="10" t="n">
        <v>281</v>
      </c>
      <c r="B282" s="11" t="inlineStr">
        <is>
          <t>الأدوات والصيانة</t>
        </is>
      </c>
      <c r="C282" s="11" t="inlineStr">
        <is>
          <t>صندوق خزنة صغير</t>
        </is>
      </c>
      <c r="D282" s="11" t="inlineStr">
        <is>
          <t>small safe box</t>
        </is>
      </c>
      <c r="E282" s="12" t="n">
        <v>204</v>
      </c>
      <c r="F282" s="10" t="inlineStr">
        <is>
          <t>تقدير</t>
        </is>
      </c>
      <c r="G282" s="10" t="inlineStr">
        <is>
          <t>تقدير</t>
        </is>
      </c>
      <c r="H282" s="10" t="inlineStr">
        <is>
          <t>لم تُفحص</t>
        </is>
      </c>
      <c r="I282" s="10" t="inlineStr">
        <is>
          <t>لم يُفحص</t>
        </is>
      </c>
      <c r="J282" s="13" t="n">
        <v>18</v>
      </c>
      <c r="K282" s="11" t="inlineStr">
        <is>
          <t>تقدير</t>
        </is>
      </c>
      <c r="L282" s="14" t="n">
        <v>4</v>
      </c>
      <c r="M282" s="10" t="inlineStr">
        <is>
          <t>كبير</t>
        </is>
      </c>
      <c r="N282" s="11" t="inlineStr">
        <is>
          <t>طوال السنة</t>
        </is>
      </c>
      <c r="O282" s="11" t="inlineStr">
        <is>
          <t>لا</t>
        </is>
      </c>
      <c r="P282" s="15" t="n">
        <v>0.14</v>
      </c>
      <c r="Q282" s="14" t="n">
        <v>17</v>
      </c>
      <c r="R282" s="14" t="n">
        <v>50</v>
      </c>
      <c r="S282" s="16">
        <f>J282*'الافتراضات'!$B$2*(1+'الافتراضات'!$B$3)</f>
        <v/>
      </c>
      <c r="T282" s="16">
        <f>L282*'الافتراضات'!$B$4</f>
        <v/>
      </c>
      <c r="U282" s="16">
        <f>(S282+T282)*'الافتراضات'!$B$5</f>
        <v/>
      </c>
      <c r="V282" s="16">
        <f>S282+T282+U282</f>
        <v/>
      </c>
      <c r="W282" s="16">
        <f>MAX(1,E282*P282)</f>
        <v/>
      </c>
      <c r="X282" s="16">
        <f>E282*'الافتراضات'!$B$7</f>
        <v/>
      </c>
      <c r="Y282" s="16">
        <f>E282*'الافتراضات'!$B$8</f>
        <v/>
      </c>
      <c r="Z282" s="16">
        <f>E282/(1+'الافتراضات'!$B$6)</f>
        <v/>
      </c>
      <c r="AA282" s="16">
        <f>Z282-V282-W282-Q282-X282-Y282</f>
        <v/>
      </c>
      <c r="AB282" s="17">
        <f>IF(Z282=0,0,AA282/Z282)</f>
        <v/>
      </c>
      <c r="AC282" s="17">
        <f>IF(V282=0,0,AA282/V282)</f>
        <v/>
      </c>
      <c r="AD282" s="18">
        <f>R282*V282</f>
        <v/>
      </c>
      <c r="AE282" s="16">
        <f>IF(AB282&gt;='الافتراضات'!$B$9,IF(O282="لا","ابدأ به","جيد – يحتاج شهادة"),IF(AB282&gt;='الافتراضات'!$B$10,"مقبول","ضعيف"))</f>
        <v/>
      </c>
      <c r="AF282" s="16">
        <f>IF((1-'الافتراضات'!$B$9)/(1+'الافتراضات'!$B$6)-P282-'الافتراضات'!$B$7-'الافتراضات'!$B$8&lt;=0,0,(V282+Q282)/((1-'الافتراضات'!$B$9)/(1+'الافتراضات'!$B$6)-P282-'الافتراضات'!$B$7-'الافتراضات'!$B$8))</f>
        <v/>
      </c>
    </row>
    <row r="283">
      <c r="A283" s="10" t="n">
        <v>282</v>
      </c>
      <c r="B283" s="11" t="inlineStr">
        <is>
          <t>الإضاءة والديكور</t>
        </is>
      </c>
      <c r="C283" s="11" t="inlineStr">
        <is>
          <t>سجاد صالة</t>
        </is>
      </c>
      <c r="D283" s="11" t="inlineStr">
        <is>
          <t>living room area rug</t>
        </is>
      </c>
      <c r="E283" s="12" t="n">
        <v>204</v>
      </c>
      <c r="F283" s="10" t="inlineStr">
        <is>
          <t>تقدير</t>
        </is>
      </c>
      <c r="G283" s="10" t="inlineStr">
        <is>
          <t>تقدير</t>
        </is>
      </c>
      <c r="H283" s="10" t="inlineStr">
        <is>
          <t>لم تُفحص</t>
        </is>
      </c>
      <c r="I283" s="10" t="inlineStr">
        <is>
          <t>لم يُفحص</t>
        </is>
      </c>
      <c r="J283" s="13" t="n">
        <v>18</v>
      </c>
      <c r="K283" s="11" t="inlineStr">
        <is>
          <t>تقدير</t>
        </is>
      </c>
      <c r="L283" s="14" t="n">
        <v>4</v>
      </c>
      <c r="M283" s="10" t="inlineStr">
        <is>
          <t>كبير</t>
        </is>
      </c>
      <c r="N283" s="11" t="inlineStr">
        <is>
          <t>طوال السنة</t>
        </is>
      </c>
      <c r="O283" s="11" t="inlineStr">
        <is>
          <t>لا</t>
        </is>
      </c>
      <c r="P283" s="15" t="n">
        <v>0.14</v>
      </c>
      <c r="Q283" s="14" t="n">
        <v>17</v>
      </c>
      <c r="R283" s="14" t="n">
        <v>50</v>
      </c>
      <c r="S283" s="16">
        <f>J283*'الافتراضات'!$B$2*(1+'الافتراضات'!$B$3)</f>
        <v/>
      </c>
      <c r="T283" s="16">
        <f>L283*'الافتراضات'!$B$4</f>
        <v/>
      </c>
      <c r="U283" s="16">
        <f>(S283+T283)*'الافتراضات'!$B$5</f>
        <v/>
      </c>
      <c r="V283" s="16">
        <f>S283+T283+U283</f>
        <v/>
      </c>
      <c r="W283" s="16">
        <f>MAX(1,E283*P283)</f>
        <v/>
      </c>
      <c r="X283" s="16">
        <f>E283*'الافتراضات'!$B$7</f>
        <v/>
      </c>
      <c r="Y283" s="16">
        <f>E283*'الافتراضات'!$B$8</f>
        <v/>
      </c>
      <c r="Z283" s="16">
        <f>E283/(1+'الافتراضات'!$B$6)</f>
        <v/>
      </c>
      <c r="AA283" s="16">
        <f>Z283-V283-W283-Q283-X283-Y283</f>
        <v/>
      </c>
      <c r="AB283" s="17">
        <f>IF(Z283=0,0,AA283/Z283)</f>
        <v/>
      </c>
      <c r="AC283" s="17">
        <f>IF(V283=0,0,AA283/V283)</f>
        <v/>
      </c>
      <c r="AD283" s="18">
        <f>R283*V283</f>
        <v/>
      </c>
      <c r="AE283" s="16">
        <f>IF(AB283&gt;='الافتراضات'!$B$9,IF(O283="لا","ابدأ به","جيد – يحتاج شهادة"),IF(AB283&gt;='الافتراضات'!$B$10,"مقبول","ضعيف"))</f>
        <v/>
      </c>
      <c r="AF283" s="16">
        <f>IF((1-'الافتراضات'!$B$9)/(1+'الافتراضات'!$B$6)-P283-'الافتراضات'!$B$7-'الافتراضات'!$B$8&lt;=0,0,(V283+Q283)/((1-'الافتراضات'!$B$9)/(1+'الافتراضات'!$B$6)-P283-'الافتراضات'!$B$7-'الافتراضات'!$B$8))</f>
        <v/>
      </c>
    </row>
    <row r="284">
      <c r="A284" s="10" t="n">
        <v>283</v>
      </c>
      <c r="B284" s="11" t="inlineStr">
        <is>
          <t>الحيوانات الأليفة</t>
        </is>
      </c>
      <c r="C284" s="11" t="inlineStr">
        <is>
          <t>مخدة قطط حرارية</t>
        </is>
      </c>
      <c r="D284" s="11" t="inlineStr">
        <is>
          <t>cat heating pad</t>
        </is>
      </c>
      <c r="E284" s="12" t="n">
        <v>57</v>
      </c>
      <c r="F284" s="10" t="inlineStr">
        <is>
          <t>تقدير</t>
        </is>
      </c>
      <c r="G284" s="10" t="inlineStr">
        <is>
          <t>تقدير</t>
        </is>
      </c>
      <c r="H284" s="10" t="inlineStr">
        <is>
          <t>لم تُفحص</t>
        </is>
      </c>
      <c r="I284" s="10" t="inlineStr">
        <is>
          <t>لم يُفحص</t>
        </is>
      </c>
      <c r="J284" s="13" t="n">
        <v>5</v>
      </c>
      <c r="K284" s="11" t="inlineStr">
        <is>
          <t>تقدير</t>
        </is>
      </c>
      <c r="L284" s="14" t="n">
        <v>0.5</v>
      </c>
      <c r="M284" s="10" t="inlineStr">
        <is>
          <t>متوسط</t>
        </is>
      </c>
      <c r="N284" s="11" t="inlineStr">
        <is>
          <t>الشتاء والكشتات</t>
        </is>
      </c>
      <c r="O284" s="11" t="inlineStr">
        <is>
          <t>SABER</t>
        </is>
      </c>
      <c r="P284" s="15" t="n">
        <v>0.15</v>
      </c>
      <c r="Q284" s="14" t="n">
        <v>9.5</v>
      </c>
      <c r="R284" s="14" t="n">
        <v>50</v>
      </c>
      <c r="S284" s="16">
        <f>J284*'الافتراضات'!$B$2*(1+'الافتراضات'!$B$3)</f>
        <v/>
      </c>
      <c r="T284" s="16">
        <f>L284*'الافتراضات'!$B$4</f>
        <v/>
      </c>
      <c r="U284" s="16">
        <f>(S284+T284)*'الافتراضات'!$B$5</f>
        <v/>
      </c>
      <c r="V284" s="16">
        <f>S284+T284+U284</f>
        <v/>
      </c>
      <c r="W284" s="16">
        <f>MAX(1,E284*P284)</f>
        <v/>
      </c>
      <c r="X284" s="16">
        <f>E284*'الافتراضات'!$B$7</f>
        <v/>
      </c>
      <c r="Y284" s="16">
        <f>E284*'الافتراضات'!$B$8</f>
        <v/>
      </c>
      <c r="Z284" s="16">
        <f>E284/(1+'الافتراضات'!$B$6)</f>
        <v/>
      </c>
      <c r="AA284" s="16">
        <f>Z284-V284-W284-Q284-X284-Y284</f>
        <v/>
      </c>
      <c r="AB284" s="17">
        <f>IF(Z284=0,0,AA284/Z284)</f>
        <v/>
      </c>
      <c r="AC284" s="17">
        <f>IF(V284=0,0,AA284/V284)</f>
        <v/>
      </c>
      <c r="AD284" s="18">
        <f>R284*V284</f>
        <v/>
      </c>
      <c r="AE284" s="16">
        <f>IF(AB284&gt;='الافتراضات'!$B$9,IF(O284="لا","ابدأ به","جيد – يحتاج شهادة"),IF(AB284&gt;='الافتراضات'!$B$10,"مقبول","ضعيف"))</f>
        <v/>
      </c>
      <c r="AF284" s="16">
        <f>IF((1-'الافتراضات'!$B$9)/(1+'الافتراضات'!$B$6)-P284-'الافتراضات'!$B$7-'الافتراضات'!$B$8&lt;=0,0,(V284+Q284)/((1-'الافتراضات'!$B$9)/(1+'الافتراضات'!$B$6)-P284-'الافتراضات'!$B$7-'الافتراضات'!$B$8))</f>
        <v/>
      </c>
    </row>
    <row r="285">
      <c r="A285" s="10" t="n">
        <v>284</v>
      </c>
      <c r="B285" s="11" t="inlineStr">
        <is>
          <t>الحيوانات الأليفة</t>
        </is>
      </c>
      <c r="C285" s="11" t="inlineStr">
        <is>
          <t>إضاءة LED للحوض</t>
        </is>
      </c>
      <c r="D285" s="11" t="inlineStr">
        <is>
          <t>aquarium LED light</t>
        </is>
      </c>
      <c r="E285" s="12" t="n">
        <v>57</v>
      </c>
      <c r="F285" s="10" t="inlineStr">
        <is>
          <t>تقدير</t>
        </is>
      </c>
      <c r="G285" s="10" t="inlineStr">
        <is>
          <t>تقدير</t>
        </is>
      </c>
      <c r="H285" s="10" t="inlineStr">
        <is>
          <t>لم تُفحص</t>
        </is>
      </c>
      <c r="I285" s="10" t="inlineStr">
        <is>
          <t>لم يُفحص</t>
        </is>
      </c>
      <c r="J285" s="13" t="n">
        <v>5</v>
      </c>
      <c r="K285" s="11" t="inlineStr">
        <is>
          <t>تقدير</t>
        </is>
      </c>
      <c r="L285" s="14" t="n">
        <v>0.5</v>
      </c>
      <c r="M285" s="10" t="inlineStr">
        <is>
          <t>متوسط</t>
        </is>
      </c>
      <c r="N285" s="11" t="inlineStr">
        <is>
          <t>طوال السنة</t>
        </is>
      </c>
      <c r="O285" s="11" t="inlineStr">
        <is>
          <t>SABER</t>
        </is>
      </c>
      <c r="P285" s="15" t="n">
        <v>0.15</v>
      </c>
      <c r="Q285" s="14" t="n">
        <v>9.5</v>
      </c>
      <c r="R285" s="14" t="n">
        <v>50</v>
      </c>
      <c r="S285" s="16">
        <f>J285*'الافتراضات'!$B$2*(1+'الافتراضات'!$B$3)</f>
        <v/>
      </c>
      <c r="T285" s="16">
        <f>L285*'الافتراضات'!$B$4</f>
        <v/>
      </c>
      <c r="U285" s="16">
        <f>(S285+T285)*'الافتراضات'!$B$5</f>
        <v/>
      </c>
      <c r="V285" s="16">
        <f>S285+T285+U285</f>
        <v/>
      </c>
      <c r="W285" s="16">
        <f>MAX(1,E285*P285)</f>
        <v/>
      </c>
      <c r="X285" s="16">
        <f>E285*'الافتراضات'!$B$7</f>
        <v/>
      </c>
      <c r="Y285" s="16">
        <f>E285*'الافتراضات'!$B$8</f>
        <v/>
      </c>
      <c r="Z285" s="16">
        <f>E285/(1+'الافتراضات'!$B$6)</f>
        <v/>
      </c>
      <c r="AA285" s="16">
        <f>Z285-V285-W285-Q285-X285-Y285</f>
        <v/>
      </c>
      <c r="AB285" s="17">
        <f>IF(Z285=0,0,AA285/Z285)</f>
        <v/>
      </c>
      <c r="AC285" s="17">
        <f>IF(V285=0,0,AA285/V285)</f>
        <v/>
      </c>
      <c r="AD285" s="18">
        <f>R285*V285</f>
        <v/>
      </c>
      <c r="AE285" s="16">
        <f>IF(AB285&gt;='الافتراضات'!$B$9,IF(O285="لا","ابدأ به","جيد – يحتاج شهادة"),IF(AB285&gt;='الافتراضات'!$B$10,"مقبول","ضعيف"))</f>
        <v/>
      </c>
      <c r="AF285" s="16">
        <f>IF((1-'الافتراضات'!$B$9)/(1+'الافتراضات'!$B$6)-P285-'الافتراضات'!$B$7-'الافتراضات'!$B$8&lt;=0,0,(V285+Q285)/((1-'الافتراضات'!$B$9)/(1+'الافتراضات'!$B$6)-P285-'الافتراضات'!$B$7-'الافتراضات'!$B$8))</f>
        <v/>
      </c>
    </row>
    <row r="286">
      <c r="A286" s="10" t="n">
        <v>285</v>
      </c>
      <c r="B286" s="11" t="inlineStr">
        <is>
          <t>الإضاءة والديكور</t>
        </is>
      </c>
      <c r="C286" s="11" t="inlineStr">
        <is>
          <t>مصابيح LED حبل الإضاءة</t>
        </is>
      </c>
      <c r="D286" s="11" t="inlineStr">
        <is>
          <t>string lights outdoor solar</t>
        </is>
      </c>
      <c r="E286" s="12" t="n">
        <v>45</v>
      </c>
      <c r="F286" s="10" t="inlineStr">
        <is>
          <t>تقدير</t>
        </is>
      </c>
      <c r="G286" s="10" t="inlineStr">
        <is>
          <t>تقدير</t>
        </is>
      </c>
      <c r="H286" s="10" t="inlineStr">
        <is>
          <t>لم تُفحص</t>
        </is>
      </c>
      <c r="I286" s="10" t="inlineStr">
        <is>
          <t>لم يُفحص</t>
        </is>
      </c>
      <c r="J286" s="13" t="n">
        <v>4</v>
      </c>
      <c r="K286" s="11" t="inlineStr">
        <is>
          <t>تقدير</t>
        </is>
      </c>
      <c r="L286" s="14" t="n">
        <v>0.4</v>
      </c>
      <c r="M286" s="10" t="inlineStr">
        <is>
          <t>متوسط</t>
        </is>
      </c>
      <c r="N286" s="11" t="inlineStr">
        <is>
          <t>طوال السنة</t>
        </is>
      </c>
      <c r="O286" s="11" t="inlineStr">
        <is>
          <t>SABER + بطارية ليثيوم</t>
        </is>
      </c>
      <c r="P286" s="15" t="n">
        <v>0.1</v>
      </c>
      <c r="Q286" s="14" t="n">
        <v>9.5</v>
      </c>
      <c r="R286" s="14" t="n">
        <v>50</v>
      </c>
      <c r="S286" s="16">
        <f>J286*'الافتراضات'!$B$2*(1+'الافتراضات'!$B$3)</f>
        <v/>
      </c>
      <c r="T286" s="16">
        <f>L286*'الافتراضات'!$B$4</f>
        <v/>
      </c>
      <c r="U286" s="16">
        <f>(S286+T286)*'الافتراضات'!$B$5</f>
        <v/>
      </c>
      <c r="V286" s="16">
        <f>S286+T286+U286</f>
        <v/>
      </c>
      <c r="W286" s="16">
        <f>MAX(1,E286*P286)</f>
        <v/>
      </c>
      <c r="X286" s="16">
        <f>E286*'الافتراضات'!$B$7</f>
        <v/>
      </c>
      <c r="Y286" s="16">
        <f>E286*'الافتراضات'!$B$8</f>
        <v/>
      </c>
      <c r="Z286" s="16">
        <f>E286/(1+'الافتراضات'!$B$6)</f>
        <v/>
      </c>
      <c r="AA286" s="16">
        <f>Z286-V286-W286-Q286-X286-Y286</f>
        <v/>
      </c>
      <c r="AB286" s="17">
        <f>IF(Z286=0,0,AA286/Z286)</f>
        <v/>
      </c>
      <c r="AC286" s="17">
        <f>IF(V286=0,0,AA286/V286)</f>
        <v/>
      </c>
      <c r="AD286" s="18">
        <f>R286*V286</f>
        <v/>
      </c>
      <c r="AE286" s="16">
        <f>IF(AB286&gt;='الافتراضات'!$B$9,IF(O286="لا","ابدأ به","جيد – يحتاج شهادة"),IF(AB286&gt;='الافتراضات'!$B$10,"مقبول","ضعيف"))</f>
        <v/>
      </c>
      <c r="AF286" s="16">
        <f>IF((1-'الافتراضات'!$B$9)/(1+'الافتراضات'!$B$6)-P286-'الافتراضات'!$B$7-'الافتراضات'!$B$8&lt;=0,0,(V286+Q286)/((1-'الافتراضات'!$B$9)/(1+'الافتراضات'!$B$6)-P286-'الافتراضات'!$B$7-'الافتراضات'!$B$8))</f>
        <v/>
      </c>
    </row>
    <row r="287">
      <c r="A287" s="10" t="n">
        <v>286</v>
      </c>
      <c r="B287" s="11" t="inlineStr">
        <is>
          <t>إكسسوارات الجوال والإلكترونيات</t>
        </is>
      </c>
      <c r="C287" s="11" t="inlineStr">
        <is>
          <t>أجهزة تحكم ذكية IR للمنزل</t>
        </is>
      </c>
      <c r="D287" s="11" t="inlineStr">
        <is>
          <t>smart IR remote controller wifi</t>
        </is>
      </c>
      <c r="E287" s="12" t="n">
        <v>34</v>
      </c>
      <c r="F287" s="10" t="inlineStr">
        <is>
          <t>تقدير</t>
        </is>
      </c>
      <c r="G287" s="10" t="inlineStr">
        <is>
          <t>تقدير</t>
        </is>
      </c>
      <c r="H287" s="10" t="inlineStr">
        <is>
          <t>لم تُفحص</t>
        </is>
      </c>
      <c r="I287" s="10" t="inlineStr">
        <is>
          <t>لم يُفحص</t>
        </is>
      </c>
      <c r="J287" s="13" t="n">
        <v>3</v>
      </c>
      <c r="K287" s="11" t="inlineStr">
        <is>
          <t>تقدير</t>
        </is>
      </c>
      <c r="L287" s="14" t="n">
        <v>0.1</v>
      </c>
      <c r="M287" s="10" t="inlineStr">
        <is>
          <t>صغير</t>
        </is>
      </c>
      <c r="N287" s="11" t="inlineStr">
        <is>
          <t>طوال السنة</t>
        </is>
      </c>
      <c r="O287" s="11" t="inlineStr">
        <is>
          <t>SABER</t>
        </is>
      </c>
      <c r="P287" s="15" t="n">
        <v>0.13</v>
      </c>
      <c r="Q287" s="14" t="n">
        <v>8</v>
      </c>
      <c r="R287" s="14" t="n">
        <v>50</v>
      </c>
      <c r="S287" s="16">
        <f>J287*'الافتراضات'!$B$2*(1+'الافتراضات'!$B$3)</f>
        <v/>
      </c>
      <c r="T287" s="16">
        <f>L287*'الافتراضات'!$B$4</f>
        <v/>
      </c>
      <c r="U287" s="16">
        <f>(S287+T287)*'الافتراضات'!$B$5</f>
        <v/>
      </c>
      <c r="V287" s="16">
        <f>S287+T287+U287</f>
        <v/>
      </c>
      <c r="W287" s="16">
        <f>MAX(1,E287*P287)</f>
        <v/>
      </c>
      <c r="X287" s="16">
        <f>E287*'الافتراضات'!$B$7</f>
        <v/>
      </c>
      <c r="Y287" s="16">
        <f>E287*'الافتراضات'!$B$8</f>
        <v/>
      </c>
      <c r="Z287" s="16">
        <f>E287/(1+'الافتراضات'!$B$6)</f>
        <v/>
      </c>
      <c r="AA287" s="16">
        <f>Z287-V287-W287-Q287-X287-Y287</f>
        <v/>
      </c>
      <c r="AB287" s="17">
        <f>IF(Z287=0,0,AA287/Z287)</f>
        <v/>
      </c>
      <c r="AC287" s="17">
        <f>IF(V287=0,0,AA287/V287)</f>
        <v/>
      </c>
      <c r="AD287" s="18">
        <f>R287*V287</f>
        <v/>
      </c>
      <c r="AE287" s="16">
        <f>IF(AB287&gt;='الافتراضات'!$B$9,IF(O287="لا","ابدأ به","جيد – يحتاج شهادة"),IF(AB287&gt;='الافتراضات'!$B$10,"مقبول","ضعيف"))</f>
        <v/>
      </c>
      <c r="AF287" s="16">
        <f>IF((1-'الافتراضات'!$B$9)/(1+'الافتراضات'!$B$6)-P287-'الافتراضات'!$B$7-'الافتراضات'!$B$8&lt;=0,0,(V287+Q287)/((1-'الافتراضات'!$B$9)/(1+'الافتراضات'!$B$6)-P287-'الافتراضات'!$B$7-'الافتراضات'!$B$8))</f>
        <v/>
      </c>
    </row>
    <row r="288">
      <c r="A288" s="10" t="n">
        <v>287</v>
      </c>
      <c r="B288" s="11" t="inlineStr">
        <is>
          <t>المكتب والدراسة</t>
        </is>
      </c>
      <c r="C288" s="11" t="inlineStr">
        <is>
          <t>مسطرة قطع</t>
        </is>
      </c>
      <c r="D288" s="11" t="inlineStr">
        <is>
          <t>rotary cutter mat</t>
        </is>
      </c>
      <c r="E288" s="12" t="n">
        <v>68</v>
      </c>
      <c r="F288" s="10" t="inlineStr">
        <is>
          <t>تقدير</t>
        </is>
      </c>
      <c r="G288" s="10" t="inlineStr">
        <is>
          <t>تقدير</t>
        </is>
      </c>
      <c r="H288" s="10" t="inlineStr">
        <is>
          <t>لم تُفحص</t>
        </is>
      </c>
      <c r="I288" s="10" t="inlineStr">
        <is>
          <t>لم يُفحص</t>
        </is>
      </c>
      <c r="J288" s="13" t="n">
        <v>6</v>
      </c>
      <c r="K288" s="11" t="inlineStr">
        <is>
          <t>تقدير</t>
        </is>
      </c>
      <c r="L288" s="14" t="n">
        <v>1</v>
      </c>
      <c r="M288" s="10" t="inlineStr">
        <is>
          <t>متوسط</t>
        </is>
      </c>
      <c r="N288" s="11" t="inlineStr">
        <is>
          <t>طوال السنة</t>
        </is>
      </c>
      <c r="O288" s="11" t="inlineStr">
        <is>
          <t>لا</t>
        </is>
      </c>
      <c r="P288" s="15" t="n">
        <v>0.12</v>
      </c>
      <c r="Q288" s="14" t="n">
        <v>10</v>
      </c>
      <c r="R288" s="14" t="n">
        <v>50</v>
      </c>
      <c r="S288" s="16">
        <f>J288*'الافتراضات'!$B$2*(1+'الافتراضات'!$B$3)</f>
        <v/>
      </c>
      <c r="T288" s="16">
        <f>L288*'الافتراضات'!$B$4</f>
        <v/>
      </c>
      <c r="U288" s="16">
        <f>(S288+T288)*'الافتراضات'!$B$5</f>
        <v/>
      </c>
      <c r="V288" s="16">
        <f>S288+T288+U288</f>
        <v/>
      </c>
      <c r="W288" s="16">
        <f>MAX(1,E288*P288)</f>
        <v/>
      </c>
      <c r="X288" s="16">
        <f>E288*'الافتراضات'!$B$7</f>
        <v/>
      </c>
      <c r="Y288" s="16">
        <f>E288*'الافتراضات'!$B$8</f>
        <v/>
      </c>
      <c r="Z288" s="16">
        <f>E288/(1+'الافتراضات'!$B$6)</f>
        <v/>
      </c>
      <c r="AA288" s="16">
        <f>Z288-V288-W288-Q288-X288-Y288</f>
        <v/>
      </c>
      <c r="AB288" s="17">
        <f>IF(Z288=0,0,AA288/Z288)</f>
        <v/>
      </c>
      <c r="AC288" s="17">
        <f>IF(V288=0,0,AA288/V288)</f>
        <v/>
      </c>
      <c r="AD288" s="18">
        <f>R288*V288</f>
        <v/>
      </c>
      <c r="AE288" s="16">
        <f>IF(AB288&gt;='الافتراضات'!$B$9,IF(O288="لا","ابدأ به","جيد – يحتاج شهادة"),IF(AB288&gt;='الافتراضات'!$B$10,"مقبول","ضعيف"))</f>
        <v/>
      </c>
      <c r="AF288" s="16">
        <f>IF((1-'الافتراضات'!$B$9)/(1+'الافتراضات'!$B$6)-P288-'الافتراضات'!$B$7-'الافتراضات'!$B$8&lt;=0,0,(V288+Q288)/((1-'الافتراضات'!$B$9)/(1+'الافتراضات'!$B$6)-P288-'الافتراضات'!$B$7-'الافتراضات'!$B$8))</f>
        <v/>
      </c>
    </row>
    <row r="289">
      <c r="A289" s="10" t="n">
        <v>288</v>
      </c>
      <c r="B289" s="11" t="inlineStr">
        <is>
          <t>إكسسوارات الجوال والإلكترونيات</t>
        </is>
      </c>
      <c r="C289" s="11" t="inlineStr">
        <is>
          <t>وسادة معصم للكيبورد</t>
        </is>
      </c>
      <c r="D289" s="11" t="inlineStr">
        <is>
          <t>keyboard wrist rest</t>
        </is>
      </c>
      <c r="E289" s="12" t="n">
        <v>25</v>
      </c>
      <c r="F289" s="10" t="inlineStr">
        <is>
          <t>تقدير</t>
        </is>
      </c>
      <c r="G289" s="10" t="inlineStr">
        <is>
          <t>تقدير</t>
        </is>
      </c>
      <c r="H289" s="10" t="inlineStr">
        <is>
          <t>لم تُفحص</t>
        </is>
      </c>
      <c r="I289" s="10" t="inlineStr">
        <is>
          <t>لم يُفحص</t>
        </is>
      </c>
      <c r="J289" s="13" t="n">
        <v>1.6</v>
      </c>
      <c r="K289" s="11" t="inlineStr">
        <is>
          <t>تقدير</t>
        </is>
      </c>
      <c r="L289" s="14" t="n">
        <v>0.25</v>
      </c>
      <c r="M289" s="10" t="inlineStr">
        <is>
          <t>صغير</t>
        </is>
      </c>
      <c r="N289" s="11" t="inlineStr">
        <is>
          <t>طوال السنة</t>
        </is>
      </c>
      <c r="O289" s="11" t="inlineStr">
        <is>
          <t>لا</t>
        </is>
      </c>
      <c r="P289" s="15" t="n">
        <v>0.13</v>
      </c>
      <c r="Q289" s="14" t="n">
        <v>7</v>
      </c>
      <c r="R289" s="14" t="n">
        <v>50</v>
      </c>
      <c r="S289" s="16">
        <f>J289*'الافتراضات'!$B$2*(1+'الافتراضات'!$B$3)</f>
        <v/>
      </c>
      <c r="T289" s="16">
        <f>L289*'الافتراضات'!$B$4</f>
        <v/>
      </c>
      <c r="U289" s="16">
        <f>(S289+T289)*'الافتراضات'!$B$5</f>
        <v/>
      </c>
      <c r="V289" s="16">
        <f>S289+T289+U289</f>
        <v/>
      </c>
      <c r="W289" s="16">
        <f>MAX(1,E289*P289)</f>
        <v/>
      </c>
      <c r="X289" s="16">
        <f>E289*'الافتراضات'!$B$7</f>
        <v/>
      </c>
      <c r="Y289" s="16">
        <f>E289*'الافتراضات'!$B$8</f>
        <v/>
      </c>
      <c r="Z289" s="16">
        <f>E289/(1+'الافتراضات'!$B$6)</f>
        <v/>
      </c>
      <c r="AA289" s="16">
        <f>Z289-V289-W289-Q289-X289-Y289</f>
        <v/>
      </c>
      <c r="AB289" s="17">
        <f>IF(Z289=0,0,AA289/Z289)</f>
        <v/>
      </c>
      <c r="AC289" s="17">
        <f>IF(V289=0,0,AA289/V289)</f>
        <v/>
      </c>
      <c r="AD289" s="18">
        <f>R289*V289</f>
        <v/>
      </c>
      <c r="AE289" s="16">
        <f>IF(AB289&gt;='الافتراضات'!$B$9,IF(O289="لا","ابدأ به","جيد – يحتاج شهادة"),IF(AB289&gt;='الافتراضات'!$B$10,"مقبول","ضعيف"))</f>
        <v/>
      </c>
      <c r="AF289" s="16">
        <f>IF((1-'الافتراضات'!$B$9)/(1+'الافتراضات'!$B$6)-P289-'الافتراضات'!$B$7-'الافتراضات'!$B$8&lt;=0,0,(V289+Q289)/((1-'الافتراضات'!$B$9)/(1+'الافتراضات'!$B$6)-P289-'الافتراضات'!$B$7-'الافتراضات'!$B$8))</f>
        <v/>
      </c>
    </row>
    <row r="290">
      <c r="A290" s="10" t="n">
        <v>289</v>
      </c>
      <c r="B290" s="11" t="inlineStr">
        <is>
          <t>الرياضة واللياقة</t>
        </is>
      </c>
      <c r="C290" s="11" t="inlineStr">
        <is>
          <t>كرة سلة مقاس 7</t>
        </is>
      </c>
      <c r="D290" s="11" t="inlineStr">
        <is>
          <t>basketball size 7</t>
        </is>
      </c>
      <c r="E290" s="12" t="n">
        <v>57</v>
      </c>
      <c r="F290" s="10" t="inlineStr">
        <is>
          <t>تقدير</t>
        </is>
      </c>
      <c r="G290" s="10" t="inlineStr">
        <is>
          <t>تقدير</t>
        </is>
      </c>
      <c r="H290" s="10" t="inlineStr">
        <is>
          <t>لم تُفحص</t>
        </is>
      </c>
      <c r="I290" s="10" t="inlineStr">
        <is>
          <t>لم يُفحص</t>
        </is>
      </c>
      <c r="J290" s="13" t="n">
        <v>5</v>
      </c>
      <c r="K290" s="11" t="inlineStr">
        <is>
          <t>تقدير</t>
        </is>
      </c>
      <c r="L290" s="14" t="n">
        <v>0.6</v>
      </c>
      <c r="M290" s="10" t="inlineStr">
        <is>
          <t>متوسط</t>
        </is>
      </c>
      <c r="N290" s="11" t="inlineStr">
        <is>
          <t>طوال السنة</t>
        </is>
      </c>
      <c r="O290" s="11" t="inlineStr">
        <is>
          <t>لا</t>
        </is>
      </c>
      <c r="P290" s="15" t="n">
        <v>0.13</v>
      </c>
      <c r="Q290" s="14" t="n">
        <v>10</v>
      </c>
      <c r="R290" s="14" t="n">
        <v>50</v>
      </c>
      <c r="S290" s="16">
        <f>J290*'الافتراضات'!$B$2*(1+'الافتراضات'!$B$3)</f>
        <v/>
      </c>
      <c r="T290" s="16">
        <f>L290*'الافتراضات'!$B$4</f>
        <v/>
      </c>
      <c r="U290" s="16">
        <f>(S290+T290)*'الافتراضات'!$B$5</f>
        <v/>
      </c>
      <c r="V290" s="16">
        <f>S290+T290+U290</f>
        <v/>
      </c>
      <c r="W290" s="16">
        <f>MAX(1,E290*P290)</f>
        <v/>
      </c>
      <c r="X290" s="16">
        <f>E290*'الافتراضات'!$B$7</f>
        <v/>
      </c>
      <c r="Y290" s="16">
        <f>E290*'الافتراضات'!$B$8</f>
        <v/>
      </c>
      <c r="Z290" s="16">
        <f>E290/(1+'الافتراضات'!$B$6)</f>
        <v/>
      </c>
      <c r="AA290" s="16">
        <f>Z290-V290-W290-Q290-X290-Y290</f>
        <v/>
      </c>
      <c r="AB290" s="17">
        <f>IF(Z290=0,0,AA290/Z290)</f>
        <v/>
      </c>
      <c r="AC290" s="17">
        <f>IF(V290=0,0,AA290/V290)</f>
        <v/>
      </c>
      <c r="AD290" s="18">
        <f>R290*V290</f>
        <v/>
      </c>
      <c r="AE290" s="16">
        <f>IF(AB290&gt;='الافتراضات'!$B$9,IF(O290="لا","ابدأ به","جيد – يحتاج شهادة"),IF(AB290&gt;='الافتراضات'!$B$10,"مقبول","ضعيف"))</f>
        <v/>
      </c>
      <c r="AF290" s="16">
        <f>IF((1-'الافتراضات'!$B$9)/(1+'الافتراضات'!$B$6)-P290-'الافتراضات'!$B$7-'الافتراضات'!$B$8&lt;=0,0,(V290+Q290)/((1-'الافتراضات'!$B$9)/(1+'الافتراضات'!$B$6)-P290-'الافتراضات'!$B$7-'الافتراضات'!$B$8))</f>
        <v/>
      </c>
    </row>
    <row r="291">
      <c r="A291" s="10" t="n">
        <v>290</v>
      </c>
      <c r="B291" s="11" t="inlineStr">
        <is>
          <t>إكسسوارات الجوال والإلكترونيات</t>
        </is>
      </c>
      <c r="C291" s="11" t="inlineStr">
        <is>
          <t>حامل شاشة ثنائي</t>
        </is>
      </c>
      <c r="D291" s="11" t="inlineStr">
        <is>
          <t>dual monitor arm stand</t>
        </is>
      </c>
      <c r="E291" s="12" t="n">
        <v>158</v>
      </c>
      <c r="F291" s="10" t="inlineStr">
        <is>
          <t>تقدير</t>
        </is>
      </c>
      <c r="G291" s="10" t="inlineStr">
        <is>
          <t>تقدير</t>
        </is>
      </c>
      <c r="H291" s="10" t="inlineStr">
        <is>
          <t>لم تُفحص</t>
        </is>
      </c>
      <c r="I291" s="10" t="inlineStr">
        <is>
          <t>لم يُفحص</t>
        </is>
      </c>
      <c r="J291" s="13" t="n">
        <v>14</v>
      </c>
      <c r="K291" s="11" t="inlineStr">
        <is>
          <t>تقدير</t>
        </is>
      </c>
      <c r="L291" s="14" t="n">
        <v>3</v>
      </c>
      <c r="M291" s="10" t="inlineStr">
        <is>
          <t>كبير</t>
        </is>
      </c>
      <c r="N291" s="11" t="inlineStr">
        <is>
          <t>طوال السنة</t>
        </is>
      </c>
      <c r="O291" s="11" t="inlineStr">
        <is>
          <t>لا</t>
        </is>
      </c>
      <c r="P291" s="15" t="n">
        <v>0.13</v>
      </c>
      <c r="Q291" s="14" t="n">
        <v>16</v>
      </c>
      <c r="R291" s="14" t="n">
        <v>50</v>
      </c>
      <c r="S291" s="16">
        <f>J291*'الافتراضات'!$B$2*(1+'الافتراضات'!$B$3)</f>
        <v/>
      </c>
      <c r="T291" s="16">
        <f>L291*'الافتراضات'!$B$4</f>
        <v/>
      </c>
      <c r="U291" s="16">
        <f>(S291+T291)*'الافتراضات'!$B$5</f>
        <v/>
      </c>
      <c r="V291" s="16">
        <f>S291+T291+U291</f>
        <v/>
      </c>
      <c r="W291" s="16">
        <f>MAX(1,E291*P291)</f>
        <v/>
      </c>
      <c r="X291" s="16">
        <f>E291*'الافتراضات'!$B$7</f>
        <v/>
      </c>
      <c r="Y291" s="16">
        <f>E291*'الافتراضات'!$B$8</f>
        <v/>
      </c>
      <c r="Z291" s="16">
        <f>E291/(1+'الافتراضات'!$B$6)</f>
        <v/>
      </c>
      <c r="AA291" s="16">
        <f>Z291-V291-W291-Q291-X291-Y291</f>
        <v/>
      </c>
      <c r="AB291" s="17">
        <f>IF(Z291=0,0,AA291/Z291)</f>
        <v/>
      </c>
      <c r="AC291" s="17">
        <f>IF(V291=0,0,AA291/V291)</f>
        <v/>
      </c>
      <c r="AD291" s="18">
        <f>R291*V291</f>
        <v/>
      </c>
      <c r="AE291" s="16">
        <f>IF(AB291&gt;='الافتراضات'!$B$9,IF(O291="لا","ابدأ به","جيد – يحتاج شهادة"),IF(AB291&gt;='الافتراضات'!$B$10,"مقبول","ضعيف"))</f>
        <v/>
      </c>
      <c r="AF291" s="16">
        <f>IF((1-'الافتراضات'!$B$9)/(1+'الافتراضات'!$B$6)-P291-'الافتراضات'!$B$7-'الافتراضات'!$B$8&lt;=0,0,(V291+Q291)/((1-'الافتراضات'!$B$9)/(1+'الافتراضات'!$B$6)-P291-'الافتراضات'!$B$7-'الافتراضات'!$B$8))</f>
        <v/>
      </c>
    </row>
    <row r="292">
      <c r="A292" s="10" t="n">
        <v>291</v>
      </c>
      <c r="B292" s="11" t="inlineStr">
        <is>
          <t>الحيوانات الأليفة</t>
        </is>
      </c>
      <c r="C292" s="11" t="inlineStr">
        <is>
          <t>حقيبة سفر للحيوانات</t>
        </is>
      </c>
      <c r="D292" s="11" t="inlineStr">
        <is>
          <t>pet carrier bag</t>
        </is>
      </c>
      <c r="E292" s="12" t="n">
        <v>91</v>
      </c>
      <c r="F292" s="10" t="inlineStr">
        <is>
          <t>تقدير</t>
        </is>
      </c>
      <c r="G292" s="10" t="inlineStr">
        <is>
          <t>تقدير</t>
        </is>
      </c>
      <c r="H292" s="10" t="inlineStr">
        <is>
          <t>لم تُفحص</t>
        </is>
      </c>
      <c r="I292" s="10" t="inlineStr">
        <is>
          <t>لم يُفحص</t>
        </is>
      </c>
      <c r="J292" s="13" t="n">
        <v>8</v>
      </c>
      <c r="K292" s="11" t="inlineStr">
        <is>
          <t>تقدير</t>
        </is>
      </c>
      <c r="L292" s="14" t="n">
        <v>1</v>
      </c>
      <c r="M292" s="10" t="inlineStr">
        <is>
          <t>كبير</t>
        </is>
      </c>
      <c r="N292" s="11" t="inlineStr">
        <is>
          <t>طوال السنة</t>
        </is>
      </c>
      <c r="O292" s="11" t="inlineStr">
        <is>
          <t>لا</t>
        </is>
      </c>
      <c r="P292" s="15" t="n">
        <v>0.15</v>
      </c>
      <c r="Q292" s="14" t="n">
        <v>14</v>
      </c>
      <c r="R292" s="14" t="n">
        <v>50</v>
      </c>
      <c r="S292" s="16">
        <f>J292*'الافتراضات'!$B$2*(1+'الافتراضات'!$B$3)</f>
        <v/>
      </c>
      <c r="T292" s="16">
        <f>L292*'الافتراضات'!$B$4</f>
        <v/>
      </c>
      <c r="U292" s="16">
        <f>(S292+T292)*'الافتراضات'!$B$5</f>
        <v/>
      </c>
      <c r="V292" s="16">
        <f>S292+T292+U292</f>
        <v/>
      </c>
      <c r="W292" s="16">
        <f>MAX(1,E292*P292)</f>
        <v/>
      </c>
      <c r="X292" s="16">
        <f>E292*'الافتراضات'!$B$7</f>
        <v/>
      </c>
      <c r="Y292" s="16">
        <f>E292*'الافتراضات'!$B$8</f>
        <v/>
      </c>
      <c r="Z292" s="16">
        <f>E292/(1+'الافتراضات'!$B$6)</f>
        <v/>
      </c>
      <c r="AA292" s="16">
        <f>Z292-V292-W292-Q292-X292-Y292</f>
        <v/>
      </c>
      <c r="AB292" s="17">
        <f>IF(Z292=0,0,AA292/Z292)</f>
        <v/>
      </c>
      <c r="AC292" s="17">
        <f>IF(V292=0,0,AA292/V292)</f>
        <v/>
      </c>
      <c r="AD292" s="18">
        <f>R292*V292</f>
        <v/>
      </c>
      <c r="AE292" s="16">
        <f>IF(AB292&gt;='الافتراضات'!$B$9,IF(O292="لا","ابدأ به","جيد – يحتاج شهادة"),IF(AB292&gt;='الافتراضات'!$B$10,"مقبول","ضعيف"))</f>
        <v/>
      </c>
      <c r="AF292" s="16">
        <f>IF((1-'الافتراضات'!$B$9)/(1+'الافتراضات'!$B$6)-P292-'الافتراضات'!$B$7-'الافتراضات'!$B$8&lt;=0,0,(V292+Q292)/((1-'الافتراضات'!$B$9)/(1+'الافتراضات'!$B$6)-P292-'الافتراضات'!$B$7-'الافتراضات'!$B$8))</f>
        <v/>
      </c>
    </row>
    <row r="293">
      <c r="A293" s="10" t="n">
        <v>292</v>
      </c>
      <c r="B293" s="11" t="inlineStr">
        <is>
          <t>السيارات والدراجات</t>
        </is>
      </c>
      <c r="C293" s="11" t="inlineStr">
        <is>
          <t>وسادة رفع للأطفال في السيارة</t>
        </is>
      </c>
      <c r="D293" s="11" t="inlineStr">
        <is>
          <t>booster seat child car</t>
        </is>
      </c>
      <c r="E293" s="12" t="n">
        <v>113</v>
      </c>
      <c r="F293" s="10" t="inlineStr">
        <is>
          <t>تقدير</t>
        </is>
      </c>
      <c r="G293" s="10" t="inlineStr">
        <is>
          <t>تقدير</t>
        </is>
      </c>
      <c r="H293" s="10" t="inlineStr">
        <is>
          <t>لم تُفحص</t>
        </is>
      </c>
      <c r="I293" s="10" t="inlineStr">
        <is>
          <t>لم يُفحص</t>
        </is>
      </c>
      <c r="J293" s="13" t="n">
        <v>10</v>
      </c>
      <c r="K293" s="11" t="inlineStr">
        <is>
          <t>تقدير</t>
        </is>
      </c>
      <c r="L293" s="14" t="n">
        <v>1.5</v>
      </c>
      <c r="M293" s="10" t="inlineStr">
        <is>
          <t>كبير</t>
        </is>
      </c>
      <c r="N293" s="11" t="inlineStr">
        <is>
          <t>طوال السنة</t>
        </is>
      </c>
      <c r="O293" s="11" t="inlineStr">
        <is>
          <t>تحقق من اللوائح</t>
        </is>
      </c>
      <c r="P293" s="15" t="n">
        <v>0.15</v>
      </c>
      <c r="Q293" s="14" t="n">
        <v>15</v>
      </c>
      <c r="R293" s="14" t="n">
        <v>50</v>
      </c>
      <c r="S293" s="16">
        <f>J293*'الافتراضات'!$B$2*(1+'الافتراضات'!$B$3)</f>
        <v/>
      </c>
      <c r="T293" s="16">
        <f>L293*'الافتراضات'!$B$4</f>
        <v/>
      </c>
      <c r="U293" s="16">
        <f>(S293+T293)*'الافتراضات'!$B$5</f>
        <v/>
      </c>
      <c r="V293" s="16">
        <f>S293+T293+U293</f>
        <v/>
      </c>
      <c r="W293" s="16">
        <f>MAX(1,E293*P293)</f>
        <v/>
      </c>
      <c r="X293" s="16">
        <f>E293*'الافتراضات'!$B$7</f>
        <v/>
      </c>
      <c r="Y293" s="16">
        <f>E293*'الافتراضات'!$B$8</f>
        <v/>
      </c>
      <c r="Z293" s="16">
        <f>E293/(1+'الافتراضات'!$B$6)</f>
        <v/>
      </c>
      <c r="AA293" s="16">
        <f>Z293-V293-W293-Q293-X293-Y293</f>
        <v/>
      </c>
      <c r="AB293" s="17">
        <f>IF(Z293=0,0,AA293/Z293)</f>
        <v/>
      </c>
      <c r="AC293" s="17">
        <f>IF(V293=0,0,AA293/V293)</f>
        <v/>
      </c>
      <c r="AD293" s="18">
        <f>R293*V293</f>
        <v/>
      </c>
      <c r="AE293" s="16">
        <f>IF(AB293&gt;='الافتراضات'!$B$9,IF(O293="لا","ابدأ به","جيد – يحتاج شهادة"),IF(AB293&gt;='الافتراضات'!$B$10,"مقبول","ضعيف"))</f>
        <v/>
      </c>
      <c r="AF293" s="16">
        <f>IF((1-'الافتراضات'!$B$9)/(1+'الافتراضات'!$B$6)-P293-'الافتراضات'!$B$7-'الافتراضات'!$B$8&lt;=0,0,(V293+Q293)/((1-'الافتراضات'!$B$9)/(1+'الافتراضات'!$B$6)-P293-'الافتراضات'!$B$7-'الافتراضات'!$B$8))</f>
        <v/>
      </c>
    </row>
    <row r="294">
      <c r="A294" s="10" t="n">
        <v>293</v>
      </c>
      <c r="B294" s="11" t="inlineStr">
        <is>
          <t>المنزل والمطبخ</t>
        </is>
      </c>
      <c r="C294" s="11" t="inlineStr">
        <is>
          <t>وسادة تدفئة كهربائية</t>
        </is>
      </c>
      <c r="D294" s="11" t="inlineStr">
        <is>
          <t>electric heating pad</t>
        </is>
      </c>
      <c r="E294" s="12" t="n">
        <v>68</v>
      </c>
      <c r="F294" s="10" t="inlineStr">
        <is>
          <t>تقدير</t>
        </is>
      </c>
      <c r="G294" s="10" t="inlineStr">
        <is>
          <t>تقدير</t>
        </is>
      </c>
      <c r="H294" s="10" t="inlineStr">
        <is>
          <t>لم تُفحص</t>
        </is>
      </c>
      <c r="I294" s="10" t="inlineStr">
        <is>
          <t>لم يُفحص</t>
        </is>
      </c>
      <c r="J294" s="13" t="n">
        <v>6</v>
      </c>
      <c r="K294" s="11" t="inlineStr">
        <is>
          <t>تقدير</t>
        </is>
      </c>
      <c r="L294" s="14" t="n">
        <v>0.8</v>
      </c>
      <c r="M294" s="10" t="inlineStr">
        <is>
          <t>متوسط</t>
        </is>
      </c>
      <c r="N294" s="11" t="inlineStr">
        <is>
          <t>الشتاء والكشتات</t>
        </is>
      </c>
      <c r="O294" s="11" t="inlineStr">
        <is>
          <t>SABER</t>
        </is>
      </c>
      <c r="P294" s="15" t="n">
        <v>0.15</v>
      </c>
      <c r="Q294" s="14" t="n">
        <v>10</v>
      </c>
      <c r="R294" s="14" t="n">
        <v>50</v>
      </c>
      <c r="S294" s="16">
        <f>J294*'الافتراضات'!$B$2*(1+'الافتراضات'!$B$3)</f>
        <v/>
      </c>
      <c r="T294" s="16">
        <f>L294*'الافتراضات'!$B$4</f>
        <v/>
      </c>
      <c r="U294" s="16">
        <f>(S294+T294)*'الافتراضات'!$B$5</f>
        <v/>
      </c>
      <c r="V294" s="16">
        <f>S294+T294+U294</f>
        <v/>
      </c>
      <c r="W294" s="16">
        <f>MAX(1,E294*P294)</f>
        <v/>
      </c>
      <c r="X294" s="16">
        <f>E294*'الافتراضات'!$B$7</f>
        <v/>
      </c>
      <c r="Y294" s="16">
        <f>E294*'الافتراضات'!$B$8</f>
        <v/>
      </c>
      <c r="Z294" s="16">
        <f>E294/(1+'الافتراضات'!$B$6)</f>
        <v/>
      </c>
      <c r="AA294" s="16">
        <f>Z294-V294-W294-Q294-X294-Y294</f>
        <v/>
      </c>
      <c r="AB294" s="17">
        <f>IF(Z294=0,0,AA294/Z294)</f>
        <v/>
      </c>
      <c r="AC294" s="17">
        <f>IF(V294=0,0,AA294/V294)</f>
        <v/>
      </c>
      <c r="AD294" s="18">
        <f>R294*V294</f>
        <v/>
      </c>
      <c r="AE294" s="16">
        <f>IF(AB294&gt;='الافتراضات'!$B$9,IF(O294="لا","ابدأ به","جيد – يحتاج شهادة"),IF(AB294&gt;='الافتراضات'!$B$10,"مقبول","ضعيف"))</f>
        <v/>
      </c>
      <c r="AF294" s="16">
        <f>IF((1-'الافتراضات'!$B$9)/(1+'الافتراضات'!$B$6)-P294-'الافتراضات'!$B$7-'الافتراضات'!$B$8&lt;=0,0,(V294+Q294)/((1-'الافتراضات'!$B$9)/(1+'الافتراضات'!$B$6)-P294-'الافتراضات'!$B$7-'الافتراضات'!$B$8))</f>
        <v/>
      </c>
    </row>
    <row r="295">
      <c r="A295" s="10" t="n">
        <v>294</v>
      </c>
      <c r="B295" s="11" t="inlineStr">
        <is>
          <t>الأطفال والألعاب</t>
        </is>
      </c>
      <c r="C295" s="11" t="inlineStr">
        <is>
          <t>مجموعة علوم للأطفال</t>
        </is>
      </c>
      <c r="D295" s="11" t="inlineStr">
        <is>
          <t>science kit kids experiments</t>
        </is>
      </c>
      <c r="E295" s="12" t="n">
        <v>68</v>
      </c>
      <c r="F295" s="10" t="inlineStr">
        <is>
          <t>تقدير</t>
        </is>
      </c>
      <c r="G295" s="10" t="inlineStr">
        <is>
          <t>تقدير</t>
        </is>
      </c>
      <c r="H295" s="10" t="inlineStr">
        <is>
          <t>لم تُفحص</t>
        </is>
      </c>
      <c r="I295" s="10" t="inlineStr">
        <is>
          <t>لم يُفحص</t>
        </is>
      </c>
      <c r="J295" s="13" t="n">
        <v>6</v>
      </c>
      <c r="K295" s="11" t="inlineStr">
        <is>
          <t>تقدير</t>
        </is>
      </c>
      <c r="L295" s="14" t="n">
        <v>0.9</v>
      </c>
      <c r="M295" s="10" t="inlineStr">
        <is>
          <t>متوسط</t>
        </is>
      </c>
      <c r="N295" s="11" t="inlineStr">
        <is>
          <t>طوال السنة</t>
        </is>
      </c>
      <c r="O295" s="11" t="inlineStr">
        <is>
          <t>اشتراطات سلامة الألعاب</t>
        </is>
      </c>
      <c r="P295" s="15" t="n">
        <v>0.14</v>
      </c>
      <c r="Q295" s="14" t="n">
        <v>10</v>
      </c>
      <c r="R295" s="14" t="n">
        <v>50</v>
      </c>
      <c r="S295" s="16">
        <f>J295*'الافتراضات'!$B$2*(1+'الافتراضات'!$B$3)</f>
        <v/>
      </c>
      <c r="T295" s="16">
        <f>L295*'الافتراضات'!$B$4</f>
        <v/>
      </c>
      <c r="U295" s="16">
        <f>(S295+T295)*'الافتراضات'!$B$5</f>
        <v/>
      </c>
      <c r="V295" s="16">
        <f>S295+T295+U295</f>
        <v/>
      </c>
      <c r="W295" s="16">
        <f>MAX(1,E295*P295)</f>
        <v/>
      </c>
      <c r="X295" s="16">
        <f>E295*'الافتراضات'!$B$7</f>
        <v/>
      </c>
      <c r="Y295" s="16">
        <f>E295*'الافتراضات'!$B$8</f>
        <v/>
      </c>
      <c r="Z295" s="16">
        <f>E295/(1+'الافتراضات'!$B$6)</f>
        <v/>
      </c>
      <c r="AA295" s="16">
        <f>Z295-V295-W295-Q295-X295-Y295</f>
        <v/>
      </c>
      <c r="AB295" s="17">
        <f>IF(Z295=0,0,AA295/Z295)</f>
        <v/>
      </c>
      <c r="AC295" s="17">
        <f>IF(V295=0,0,AA295/V295)</f>
        <v/>
      </c>
      <c r="AD295" s="18">
        <f>R295*V295</f>
        <v/>
      </c>
      <c r="AE295" s="16">
        <f>IF(AB295&gt;='الافتراضات'!$B$9,IF(O295="لا","ابدأ به","جيد – يحتاج شهادة"),IF(AB295&gt;='الافتراضات'!$B$10,"مقبول","ضعيف"))</f>
        <v/>
      </c>
      <c r="AF295" s="16">
        <f>IF((1-'الافتراضات'!$B$9)/(1+'الافتراضات'!$B$6)-P295-'الافتراضات'!$B$7-'الافتراضات'!$B$8&lt;=0,0,(V295+Q295)/((1-'الافتراضات'!$B$9)/(1+'الافتراضات'!$B$6)-P295-'الافتراضات'!$B$7-'الافتراضات'!$B$8))</f>
        <v/>
      </c>
    </row>
    <row r="296">
      <c r="A296" s="10" t="n">
        <v>295</v>
      </c>
      <c r="B296" s="11" t="inlineStr">
        <is>
          <t>الحديقة والخارج</t>
        </is>
      </c>
      <c r="C296" s="11" t="inlineStr">
        <is>
          <t>مبيد حشرات إلكتروني</t>
        </is>
      </c>
      <c r="D296" s="11" t="inlineStr">
        <is>
          <t>electric insect killer lamp</t>
        </is>
      </c>
      <c r="E296" s="12" t="n">
        <v>68</v>
      </c>
      <c r="F296" s="10" t="inlineStr">
        <is>
          <t>تقدير</t>
        </is>
      </c>
      <c r="G296" s="10" t="inlineStr">
        <is>
          <t>تقدير</t>
        </is>
      </c>
      <c r="H296" s="10" t="inlineStr">
        <is>
          <t>لم تُفحص</t>
        </is>
      </c>
      <c r="I296" s="10" t="inlineStr">
        <is>
          <t>لم يُفحص</t>
        </is>
      </c>
      <c r="J296" s="13" t="n">
        <v>6</v>
      </c>
      <c r="K296" s="11" t="inlineStr">
        <is>
          <t>تقدير</t>
        </is>
      </c>
      <c r="L296" s="14" t="n">
        <v>0.9</v>
      </c>
      <c r="M296" s="10" t="inlineStr">
        <is>
          <t>متوسط</t>
        </is>
      </c>
      <c r="N296" s="11" t="inlineStr">
        <is>
          <t>الصيف</t>
        </is>
      </c>
      <c r="O296" s="11" t="inlineStr">
        <is>
          <t>SABER</t>
        </is>
      </c>
      <c r="P296" s="15" t="n">
        <v>0.14</v>
      </c>
      <c r="Q296" s="14" t="n">
        <v>10</v>
      </c>
      <c r="R296" s="14" t="n">
        <v>50</v>
      </c>
      <c r="S296" s="16">
        <f>J296*'الافتراضات'!$B$2*(1+'الافتراضات'!$B$3)</f>
        <v/>
      </c>
      <c r="T296" s="16">
        <f>L296*'الافتراضات'!$B$4</f>
        <v/>
      </c>
      <c r="U296" s="16">
        <f>(S296+T296)*'الافتراضات'!$B$5</f>
        <v/>
      </c>
      <c r="V296" s="16">
        <f>S296+T296+U296</f>
        <v/>
      </c>
      <c r="W296" s="16">
        <f>MAX(1,E296*P296)</f>
        <v/>
      </c>
      <c r="X296" s="16">
        <f>E296*'الافتراضات'!$B$7</f>
        <v/>
      </c>
      <c r="Y296" s="16">
        <f>E296*'الافتراضات'!$B$8</f>
        <v/>
      </c>
      <c r="Z296" s="16">
        <f>E296/(1+'الافتراضات'!$B$6)</f>
        <v/>
      </c>
      <c r="AA296" s="16">
        <f>Z296-V296-W296-Q296-X296-Y296</f>
        <v/>
      </c>
      <c r="AB296" s="17">
        <f>IF(Z296=0,0,AA296/Z296)</f>
        <v/>
      </c>
      <c r="AC296" s="17">
        <f>IF(V296=0,0,AA296/V296)</f>
        <v/>
      </c>
      <c r="AD296" s="18">
        <f>R296*V296</f>
        <v/>
      </c>
      <c r="AE296" s="16">
        <f>IF(AB296&gt;='الافتراضات'!$B$9,IF(O296="لا","ابدأ به","جيد – يحتاج شهادة"),IF(AB296&gt;='الافتراضات'!$B$10,"مقبول","ضعيف"))</f>
        <v/>
      </c>
      <c r="AF296" s="16">
        <f>IF((1-'الافتراضات'!$B$9)/(1+'الافتراضات'!$B$6)-P296-'الافتراضات'!$B$7-'الافتراضات'!$B$8&lt;=0,0,(V296+Q296)/((1-'الافتراضات'!$B$9)/(1+'الافتراضات'!$B$6)-P296-'الافتراضات'!$B$7-'الافتراضات'!$B$8))</f>
        <v/>
      </c>
    </row>
    <row r="297">
      <c r="A297" s="10" t="n">
        <v>296</v>
      </c>
      <c r="B297" s="11" t="inlineStr">
        <is>
          <t>التنظيف والغسيل</t>
        </is>
      </c>
      <c r="C297" s="11" t="inlineStr">
        <is>
          <t>منظف زجاج مغناطيسي</t>
        </is>
      </c>
      <c r="D297" s="11" t="inlineStr">
        <is>
          <t>magnetic window cleaner</t>
        </is>
      </c>
      <c r="E297" s="12" t="n">
        <v>68</v>
      </c>
      <c r="F297" s="10" t="inlineStr">
        <is>
          <t>تقدير</t>
        </is>
      </c>
      <c r="G297" s="10" t="inlineStr">
        <is>
          <t>تقدير</t>
        </is>
      </c>
      <c r="H297" s="10" t="inlineStr">
        <is>
          <t>لم تُفحص</t>
        </is>
      </c>
      <c r="I297" s="10" t="inlineStr">
        <is>
          <t>لم يُفحص</t>
        </is>
      </c>
      <c r="J297" s="13" t="n">
        <v>6</v>
      </c>
      <c r="K297" s="11" t="inlineStr">
        <is>
          <t>تقدير</t>
        </is>
      </c>
      <c r="L297" s="14" t="n">
        <v>0.9</v>
      </c>
      <c r="M297" s="10" t="inlineStr">
        <is>
          <t>متوسط</t>
        </is>
      </c>
      <c r="N297" s="11" t="inlineStr">
        <is>
          <t>طوال السنة</t>
        </is>
      </c>
      <c r="O297" s="11" t="inlineStr">
        <is>
          <t>لا</t>
        </is>
      </c>
      <c r="P297" s="15" t="n">
        <v>0.14</v>
      </c>
      <c r="Q297" s="14" t="n">
        <v>10</v>
      </c>
      <c r="R297" s="14" t="n">
        <v>50</v>
      </c>
      <c r="S297" s="16">
        <f>J297*'الافتراضات'!$B$2*(1+'الافتراضات'!$B$3)</f>
        <v/>
      </c>
      <c r="T297" s="16">
        <f>L297*'الافتراضات'!$B$4</f>
        <v/>
      </c>
      <c r="U297" s="16">
        <f>(S297+T297)*'الافتراضات'!$B$5</f>
        <v/>
      </c>
      <c r="V297" s="16">
        <f>S297+T297+U297</f>
        <v/>
      </c>
      <c r="W297" s="16">
        <f>MAX(1,E297*P297)</f>
        <v/>
      </c>
      <c r="X297" s="16">
        <f>E297*'الافتراضات'!$B$7</f>
        <v/>
      </c>
      <c r="Y297" s="16">
        <f>E297*'الافتراضات'!$B$8</f>
        <v/>
      </c>
      <c r="Z297" s="16">
        <f>E297/(1+'الافتراضات'!$B$6)</f>
        <v/>
      </c>
      <c r="AA297" s="16">
        <f>Z297-V297-W297-Q297-X297-Y297</f>
        <v/>
      </c>
      <c r="AB297" s="17">
        <f>IF(Z297=0,0,AA297/Z297)</f>
        <v/>
      </c>
      <c r="AC297" s="17">
        <f>IF(V297=0,0,AA297/V297)</f>
        <v/>
      </c>
      <c r="AD297" s="18">
        <f>R297*V297</f>
        <v/>
      </c>
      <c r="AE297" s="16">
        <f>IF(AB297&gt;='الافتراضات'!$B$9,IF(O297="لا","ابدأ به","جيد – يحتاج شهادة"),IF(AB297&gt;='الافتراضات'!$B$10,"مقبول","ضعيف"))</f>
        <v/>
      </c>
      <c r="AF297" s="16">
        <f>IF((1-'الافتراضات'!$B$9)/(1+'الافتراضات'!$B$6)-P297-'الافتراضات'!$B$7-'الافتراضات'!$B$8&lt;=0,0,(V297+Q297)/((1-'الافتراضات'!$B$9)/(1+'الافتراضات'!$B$6)-P297-'الافتراضات'!$B$7-'الافتراضات'!$B$8))</f>
        <v/>
      </c>
    </row>
    <row r="298">
      <c r="A298" s="10" t="n">
        <v>297</v>
      </c>
      <c r="B298" s="11" t="inlineStr">
        <is>
          <t>الرياضة واللياقة</t>
        </is>
      </c>
      <c r="C298" s="11" t="inlineStr">
        <is>
          <t>شنطة جيم رياضية</t>
        </is>
      </c>
      <c r="D298" s="11" t="inlineStr">
        <is>
          <t>gym duffle bag</t>
        </is>
      </c>
      <c r="E298" s="12" t="n">
        <v>51</v>
      </c>
      <c r="F298" s="10" t="inlineStr">
        <is>
          <t>تقدير</t>
        </is>
      </c>
      <c r="G298" s="10" t="inlineStr">
        <is>
          <t>تقدير</t>
        </is>
      </c>
      <c r="H298" s="10" t="inlineStr">
        <is>
          <t>لم تُفحص</t>
        </is>
      </c>
      <c r="I298" s="10" t="inlineStr">
        <is>
          <t>لم يُفحص</t>
        </is>
      </c>
      <c r="J298" s="13" t="n">
        <v>4.5</v>
      </c>
      <c r="K298" s="11" t="inlineStr">
        <is>
          <t>تقدير</t>
        </is>
      </c>
      <c r="L298" s="14" t="n">
        <v>0.5</v>
      </c>
      <c r="M298" s="10" t="inlineStr">
        <is>
          <t>متوسط</t>
        </is>
      </c>
      <c r="N298" s="11" t="inlineStr">
        <is>
          <t>طوال السنة</t>
        </is>
      </c>
      <c r="O298" s="11" t="inlineStr">
        <is>
          <t>لا</t>
        </is>
      </c>
      <c r="P298" s="15" t="n">
        <v>0.13</v>
      </c>
      <c r="Q298" s="14" t="n">
        <v>9.5</v>
      </c>
      <c r="R298" s="14" t="n">
        <v>50</v>
      </c>
      <c r="S298" s="16">
        <f>J298*'الافتراضات'!$B$2*(1+'الافتراضات'!$B$3)</f>
        <v/>
      </c>
      <c r="T298" s="16">
        <f>L298*'الافتراضات'!$B$4</f>
        <v/>
      </c>
      <c r="U298" s="16">
        <f>(S298+T298)*'الافتراضات'!$B$5</f>
        <v/>
      </c>
      <c r="V298" s="16">
        <f>S298+T298+U298</f>
        <v/>
      </c>
      <c r="W298" s="16">
        <f>MAX(1,E298*P298)</f>
        <v/>
      </c>
      <c r="X298" s="16">
        <f>E298*'الافتراضات'!$B$7</f>
        <v/>
      </c>
      <c r="Y298" s="16">
        <f>E298*'الافتراضات'!$B$8</f>
        <v/>
      </c>
      <c r="Z298" s="16">
        <f>E298/(1+'الافتراضات'!$B$6)</f>
        <v/>
      </c>
      <c r="AA298" s="16">
        <f>Z298-V298-W298-Q298-X298-Y298</f>
        <v/>
      </c>
      <c r="AB298" s="17">
        <f>IF(Z298=0,0,AA298/Z298)</f>
        <v/>
      </c>
      <c r="AC298" s="17">
        <f>IF(V298=0,0,AA298/V298)</f>
        <v/>
      </c>
      <c r="AD298" s="18">
        <f>R298*V298</f>
        <v/>
      </c>
      <c r="AE298" s="16">
        <f>IF(AB298&gt;='الافتراضات'!$B$9,IF(O298="لا","ابدأ به","جيد – يحتاج شهادة"),IF(AB298&gt;='الافتراضات'!$B$10,"مقبول","ضعيف"))</f>
        <v/>
      </c>
      <c r="AF298" s="16">
        <f>IF((1-'الافتراضات'!$B$9)/(1+'الافتراضات'!$B$6)-P298-'الافتراضات'!$B$7-'الافتراضات'!$B$8&lt;=0,0,(V298+Q298)/((1-'الافتراضات'!$B$9)/(1+'الافتراضات'!$B$6)-P298-'الافتراضات'!$B$7-'الافتراضات'!$B$8))</f>
        <v/>
      </c>
    </row>
    <row r="299">
      <c r="A299" s="10" t="n">
        <v>298</v>
      </c>
      <c r="B299" s="11" t="inlineStr">
        <is>
          <t>الأدوات والصيانة</t>
        </is>
      </c>
      <c r="C299" s="11" t="inlineStr">
        <is>
          <t>سلم ألمنيوم قابل للطي</t>
        </is>
      </c>
      <c r="D299" s="11" t="inlineStr">
        <is>
          <t>folding aluminum ladder</t>
        </is>
      </c>
      <c r="E299" s="12" t="n">
        <v>340</v>
      </c>
      <c r="F299" s="10" t="inlineStr">
        <is>
          <t>تقدير</t>
        </is>
      </c>
      <c r="G299" s="10" t="inlineStr">
        <is>
          <t>تقدير</t>
        </is>
      </c>
      <c r="H299" s="10" t="inlineStr">
        <is>
          <t>لم تُفحص</t>
        </is>
      </c>
      <c r="I299" s="10" t="inlineStr">
        <is>
          <t>لم يُفحص</t>
        </is>
      </c>
      <c r="J299" s="13" t="n">
        <v>30</v>
      </c>
      <c r="K299" s="11" t="inlineStr">
        <is>
          <t>تقدير</t>
        </is>
      </c>
      <c r="L299" s="14" t="n">
        <v>8</v>
      </c>
      <c r="M299" s="10" t="inlineStr">
        <is>
          <t>كبير</t>
        </is>
      </c>
      <c r="N299" s="11" t="inlineStr">
        <is>
          <t>طوال السنة</t>
        </is>
      </c>
      <c r="O299" s="11" t="inlineStr">
        <is>
          <t>لا</t>
        </is>
      </c>
      <c r="P299" s="15" t="n">
        <v>0.14</v>
      </c>
      <c r="Q299" s="14" t="n">
        <v>21</v>
      </c>
      <c r="R299" s="14" t="n">
        <v>50</v>
      </c>
      <c r="S299" s="16">
        <f>J299*'الافتراضات'!$B$2*(1+'الافتراضات'!$B$3)</f>
        <v/>
      </c>
      <c r="T299" s="16">
        <f>L299*'الافتراضات'!$B$4</f>
        <v/>
      </c>
      <c r="U299" s="16">
        <f>(S299+T299)*'الافتراضات'!$B$5</f>
        <v/>
      </c>
      <c r="V299" s="16">
        <f>S299+T299+U299</f>
        <v/>
      </c>
      <c r="W299" s="16">
        <f>MAX(1,E299*P299)</f>
        <v/>
      </c>
      <c r="X299" s="16">
        <f>E299*'الافتراضات'!$B$7</f>
        <v/>
      </c>
      <c r="Y299" s="16">
        <f>E299*'الافتراضات'!$B$8</f>
        <v/>
      </c>
      <c r="Z299" s="16">
        <f>E299/(1+'الافتراضات'!$B$6)</f>
        <v/>
      </c>
      <c r="AA299" s="16">
        <f>Z299-V299-W299-Q299-X299-Y299</f>
        <v/>
      </c>
      <c r="AB299" s="17">
        <f>IF(Z299=0,0,AA299/Z299)</f>
        <v/>
      </c>
      <c r="AC299" s="17">
        <f>IF(V299=0,0,AA299/V299)</f>
        <v/>
      </c>
      <c r="AD299" s="18">
        <f>R299*V299</f>
        <v/>
      </c>
      <c r="AE299" s="16">
        <f>IF(AB299&gt;='الافتراضات'!$B$9,IF(O299="لا","ابدأ به","جيد – يحتاج شهادة"),IF(AB299&gt;='الافتراضات'!$B$10,"مقبول","ضعيف"))</f>
        <v/>
      </c>
      <c r="AF299" s="16">
        <f>IF((1-'الافتراضات'!$B$9)/(1+'الافتراضات'!$B$6)-P299-'الافتراضات'!$B$7-'الافتراضات'!$B$8&lt;=0,0,(V299+Q299)/((1-'الافتراضات'!$B$9)/(1+'الافتراضات'!$B$6)-P299-'الافتراضات'!$B$7-'الافتراضات'!$B$8))</f>
        <v/>
      </c>
    </row>
    <row r="300">
      <c r="A300" s="10" t="n">
        <v>299</v>
      </c>
      <c r="B300" s="11" t="inlineStr">
        <is>
          <t>إكسسوارات الجوال والإلكترونيات</t>
        </is>
      </c>
      <c r="C300" s="11" t="inlineStr">
        <is>
          <t>سماعة بلوتوث صغيرة بحبل</t>
        </is>
      </c>
      <c r="D300" s="11" t="inlineStr">
        <is>
          <t>mini bluetooth speaker lanyard</t>
        </is>
      </c>
      <c r="E300" s="12" t="n">
        <v>36</v>
      </c>
      <c r="F300" s="10" t="inlineStr">
        <is>
          <t>تقدير</t>
        </is>
      </c>
      <c r="G300" s="10" t="inlineStr">
        <is>
          <t>تقدير</t>
        </is>
      </c>
      <c r="H300" s="10" t="inlineStr">
        <is>
          <t>لم تُفحص</t>
        </is>
      </c>
      <c r="I300" s="10" t="inlineStr">
        <is>
          <t>لم يُفحص</t>
        </is>
      </c>
      <c r="J300" s="13" t="n">
        <v>3.2</v>
      </c>
      <c r="K300" s="11" t="inlineStr">
        <is>
          <t>تقدير</t>
        </is>
      </c>
      <c r="L300" s="14" t="n">
        <v>0.2</v>
      </c>
      <c r="M300" s="10" t="inlineStr">
        <is>
          <t>صغير</t>
        </is>
      </c>
      <c r="N300" s="11" t="inlineStr">
        <is>
          <t>طوال السنة</t>
        </is>
      </c>
      <c r="O300" s="11" t="inlineStr">
        <is>
          <t>SABER + بطارية ليثيوم</t>
        </is>
      </c>
      <c r="P300" s="15" t="n">
        <v>0.1</v>
      </c>
      <c r="Q300" s="14" t="n">
        <v>9</v>
      </c>
      <c r="R300" s="14" t="n">
        <v>50</v>
      </c>
      <c r="S300" s="16">
        <f>J300*'الافتراضات'!$B$2*(1+'الافتراضات'!$B$3)</f>
        <v/>
      </c>
      <c r="T300" s="16">
        <f>L300*'الافتراضات'!$B$4</f>
        <v/>
      </c>
      <c r="U300" s="16">
        <f>(S300+T300)*'الافتراضات'!$B$5</f>
        <v/>
      </c>
      <c r="V300" s="16">
        <f>S300+T300+U300</f>
        <v/>
      </c>
      <c r="W300" s="16">
        <f>MAX(1,E300*P300)</f>
        <v/>
      </c>
      <c r="X300" s="16">
        <f>E300*'الافتراضات'!$B$7</f>
        <v/>
      </c>
      <c r="Y300" s="16">
        <f>E300*'الافتراضات'!$B$8</f>
        <v/>
      </c>
      <c r="Z300" s="16">
        <f>E300/(1+'الافتراضات'!$B$6)</f>
        <v/>
      </c>
      <c r="AA300" s="16">
        <f>Z300-V300-W300-Q300-X300-Y300</f>
        <v/>
      </c>
      <c r="AB300" s="17">
        <f>IF(Z300=0,0,AA300/Z300)</f>
        <v/>
      </c>
      <c r="AC300" s="17">
        <f>IF(V300=0,0,AA300/V300)</f>
        <v/>
      </c>
      <c r="AD300" s="18">
        <f>R300*V300</f>
        <v/>
      </c>
      <c r="AE300" s="16">
        <f>IF(AB300&gt;='الافتراضات'!$B$9,IF(O300="لا","ابدأ به","جيد – يحتاج شهادة"),IF(AB300&gt;='الافتراضات'!$B$10,"مقبول","ضعيف"))</f>
        <v/>
      </c>
      <c r="AF300" s="16">
        <f>IF((1-'الافتراضات'!$B$9)/(1+'الافتراضات'!$B$6)-P300-'الافتراضات'!$B$7-'الافتراضات'!$B$8&lt;=0,0,(V300+Q300)/((1-'الافتراضات'!$B$9)/(1+'الافتراضات'!$B$6)-P300-'الافتراضات'!$B$7-'الافتراضات'!$B$8))</f>
        <v/>
      </c>
    </row>
    <row r="301">
      <c r="A301" s="10" t="n">
        <v>300</v>
      </c>
      <c r="B301" s="11" t="inlineStr">
        <is>
          <t>المكتب والدراسة</t>
        </is>
      </c>
      <c r="C301" s="11" t="inlineStr">
        <is>
          <t>تقويم مغناطيسي قابل للمسح للثلاجة</t>
        </is>
      </c>
      <c r="D301" s="11" t="inlineStr">
        <is>
          <t>magnetic dry erase calendar fridge</t>
        </is>
      </c>
      <c r="E301" s="12" t="n">
        <v>25</v>
      </c>
      <c r="F301" s="10" t="inlineStr">
        <is>
          <t>تقدير</t>
        </is>
      </c>
      <c r="G301" s="10" t="inlineStr">
        <is>
          <t>تقدير</t>
        </is>
      </c>
      <c r="H301" s="10" t="inlineStr">
        <is>
          <t>لم تُفحص</t>
        </is>
      </c>
      <c r="I301" s="10" t="inlineStr">
        <is>
          <t>لم يُفحص</t>
        </is>
      </c>
      <c r="J301" s="13" t="n">
        <v>1.3</v>
      </c>
      <c r="K301" s="11" t="inlineStr">
        <is>
          <t>تقدير</t>
        </is>
      </c>
      <c r="L301" s="14" t="n">
        <v>0.4</v>
      </c>
      <c r="M301" s="10" t="inlineStr">
        <is>
          <t>صغير</t>
        </is>
      </c>
      <c r="N301" s="11" t="inlineStr">
        <is>
          <t>طوال السنة</t>
        </is>
      </c>
      <c r="O301" s="11" t="inlineStr">
        <is>
          <t>لا</t>
        </is>
      </c>
      <c r="P301" s="15" t="n">
        <v>0.12</v>
      </c>
      <c r="Q301" s="14" t="n">
        <v>7.5</v>
      </c>
      <c r="R301" s="14" t="n">
        <v>50</v>
      </c>
      <c r="S301" s="16">
        <f>J301*'الافتراضات'!$B$2*(1+'الافتراضات'!$B$3)</f>
        <v/>
      </c>
      <c r="T301" s="16">
        <f>L301*'الافتراضات'!$B$4</f>
        <v/>
      </c>
      <c r="U301" s="16">
        <f>(S301+T301)*'الافتراضات'!$B$5</f>
        <v/>
      </c>
      <c r="V301" s="16">
        <f>S301+T301+U301</f>
        <v/>
      </c>
      <c r="W301" s="16">
        <f>MAX(1,E301*P301)</f>
        <v/>
      </c>
      <c r="X301" s="16">
        <f>E301*'الافتراضات'!$B$7</f>
        <v/>
      </c>
      <c r="Y301" s="16">
        <f>E301*'الافتراضات'!$B$8</f>
        <v/>
      </c>
      <c r="Z301" s="16">
        <f>E301/(1+'الافتراضات'!$B$6)</f>
        <v/>
      </c>
      <c r="AA301" s="16">
        <f>Z301-V301-W301-Q301-X301-Y301</f>
        <v/>
      </c>
      <c r="AB301" s="17">
        <f>IF(Z301=0,0,AA301/Z301)</f>
        <v/>
      </c>
      <c r="AC301" s="17">
        <f>IF(V301=0,0,AA301/V301)</f>
        <v/>
      </c>
      <c r="AD301" s="18">
        <f>R301*V301</f>
        <v/>
      </c>
      <c r="AE301" s="16">
        <f>IF(AB301&gt;='الافتراضات'!$B$9,IF(O301="لا","ابدأ به","جيد – يحتاج شهادة"),IF(AB301&gt;='الافتراضات'!$B$10,"مقبول","ضعيف"))</f>
        <v/>
      </c>
      <c r="AF301" s="16">
        <f>IF((1-'الافتراضات'!$B$9)/(1+'الافتراضات'!$B$6)-P301-'الافتراضات'!$B$7-'الافتراضات'!$B$8&lt;=0,0,(V301+Q301)/((1-'الافتراضات'!$B$9)/(1+'الافتراضات'!$B$6)-P301-'الافتراضات'!$B$7-'الافتراضات'!$B$8))</f>
        <v/>
      </c>
    </row>
    <row r="302">
      <c r="A302" s="10" t="n">
        <v>301</v>
      </c>
      <c r="B302" s="11" t="inlineStr">
        <is>
          <t>التخييم والسفر</t>
        </is>
      </c>
      <c r="C302" s="11" t="inlineStr">
        <is>
          <t>ترمس شاي للكشتات</t>
        </is>
      </c>
      <c r="D302" s="11" t="inlineStr">
        <is>
          <t>thermos flask for camping</t>
        </is>
      </c>
      <c r="E302" s="12" t="n">
        <v>68</v>
      </c>
      <c r="F302" s="10" t="inlineStr">
        <is>
          <t>تقدير</t>
        </is>
      </c>
      <c r="G302" s="10" t="inlineStr">
        <is>
          <t>تقدير</t>
        </is>
      </c>
      <c r="H302" s="10" t="inlineStr">
        <is>
          <t>لم تُفحص</t>
        </is>
      </c>
      <c r="I302" s="10" t="inlineStr">
        <is>
          <t>لم يُفحص</t>
        </is>
      </c>
      <c r="J302" s="13" t="n">
        <v>6</v>
      </c>
      <c r="K302" s="11" t="inlineStr">
        <is>
          <t>تقدير</t>
        </is>
      </c>
      <c r="L302" s="14" t="n">
        <v>1</v>
      </c>
      <c r="M302" s="10" t="inlineStr">
        <is>
          <t>متوسط</t>
        </is>
      </c>
      <c r="N302" s="11" t="inlineStr">
        <is>
          <t>الشتاء والكشتات</t>
        </is>
      </c>
      <c r="O302" s="11" t="inlineStr">
        <is>
          <t>ملامس للغذاء (SFDA)</t>
        </is>
      </c>
      <c r="P302" s="15" t="n">
        <v>0.13</v>
      </c>
      <c r="Q302" s="14" t="n">
        <v>10</v>
      </c>
      <c r="R302" s="14" t="n">
        <v>50</v>
      </c>
      <c r="S302" s="16">
        <f>J302*'الافتراضات'!$B$2*(1+'الافتراضات'!$B$3)</f>
        <v/>
      </c>
      <c r="T302" s="16">
        <f>L302*'الافتراضات'!$B$4</f>
        <v/>
      </c>
      <c r="U302" s="16">
        <f>(S302+T302)*'الافتراضات'!$B$5</f>
        <v/>
      </c>
      <c r="V302" s="16">
        <f>S302+T302+U302</f>
        <v/>
      </c>
      <c r="W302" s="16">
        <f>MAX(1,E302*P302)</f>
        <v/>
      </c>
      <c r="X302" s="16">
        <f>E302*'الافتراضات'!$B$7</f>
        <v/>
      </c>
      <c r="Y302" s="16">
        <f>E302*'الافتراضات'!$B$8</f>
        <v/>
      </c>
      <c r="Z302" s="16">
        <f>E302/(1+'الافتراضات'!$B$6)</f>
        <v/>
      </c>
      <c r="AA302" s="16">
        <f>Z302-V302-W302-Q302-X302-Y302</f>
        <v/>
      </c>
      <c r="AB302" s="17">
        <f>IF(Z302=0,0,AA302/Z302)</f>
        <v/>
      </c>
      <c r="AC302" s="17">
        <f>IF(V302=0,0,AA302/V302)</f>
        <v/>
      </c>
      <c r="AD302" s="18">
        <f>R302*V302</f>
        <v/>
      </c>
      <c r="AE302" s="16">
        <f>IF(AB302&gt;='الافتراضات'!$B$9,IF(O302="لا","ابدأ به","جيد – يحتاج شهادة"),IF(AB302&gt;='الافتراضات'!$B$10,"مقبول","ضعيف"))</f>
        <v/>
      </c>
      <c r="AF302" s="16">
        <f>IF((1-'الافتراضات'!$B$9)/(1+'الافتراضات'!$B$6)-P302-'الافتراضات'!$B$7-'الافتراضات'!$B$8&lt;=0,0,(V302+Q302)/((1-'الافتراضات'!$B$9)/(1+'الافتراضات'!$B$6)-P302-'الافتراضات'!$B$7-'الافتراضات'!$B$8))</f>
        <v/>
      </c>
    </row>
    <row r="303">
      <c r="A303" s="10" t="n">
        <v>302</v>
      </c>
      <c r="B303" s="11" t="inlineStr">
        <is>
          <t>التخييم والسفر</t>
        </is>
      </c>
      <c r="C303" s="11" t="inlineStr">
        <is>
          <t>صندوق تبريد 25 لتر</t>
        </is>
      </c>
      <c r="D303" s="11" t="inlineStr">
        <is>
          <t>ice cooler box 25L</t>
        </is>
      </c>
      <c r="E303" s="12" t="n">
        <v>136</v>
      </c>
      <c r="F303" s="10" t="inlineStr">
        <is>
          <t>تقدير</t>
        </is>
      </c>
      <c r="G303" s="10" t="inlineStr">
        <is>
          <t>تقدير</t>
        </is>
      </c>
      <c r="H303" s="10" t="inlineStr">
        <is>
          <t>لم تُفحص</t>
        </is>
      </c>
      <c r="I303" s="10" t="inlineStr">
        <is>
          <t>لم يُفحص</t>
        </is>
      </c>
      <c r="J303" s="13" t="n">
        <v>12</v>
      </c>
      <c r="K303" s="11" t="inlineStr">
        <is>
          <t>تقدير</t>
        </is>
      </c>
      <c r="L303" s="14" t="n">
        <v>2.5</v>
      </c>
      <c r="M303" s="10" t="inlineStr">
        <is>
          <t>كبير</t>
        </is>
      </c>
      <c r="N303" s="11" t="inlineStr">
        <is>
          <t>الصيف</t>
        </is>
      </c>
      <c r="O303" s="11" t="inlineStr">
        <is>
          <t>لا</t>
        </is>
      </c>
      <c r="P303" s="15" t="n">
        <v>0.13</v>
      </c>
      <c r="Q303" s="14" t="n">
        <v>16</v>
      </c>
      <c r="R303" s="14" t="n">
        <v>50</v>
      </c>
      <c r="S303" s="16">
        <f>J303*'الافتراضات'!$B$2*(1+'الافتراضات'!$B$3)</f>
        <v/>
      </c>
      <c r="T303" s="16">
        <f>L303*'الافتراضات'!$B$4</f>
        <v/>
      </c>
      <c r="U303" s="16">
        <f>(S303+T303)*'الافتراضات'!$B$5</f>
        <v/>
      </c>
      <c r="V303" s="16">
        <f>S303+T303+U303</f>
        <v/>
      </c>
      <c r="W303" s="16">
        <f>MAX(1,E303*P303)</f>
        <v/>
      </c>
      <c r="X303" s="16">
        <f>E303*'الافتراضات'!$B$7</f>
        <v/>
      </c>
      <c r="Y303" s="16">
        <f>E303*'الافتراضات'!$B$8</f>
        <v/>
      </c>
      <c r="Z303" s="16">
        <f>E303/(1+'الافتراضات'!$B$6)</f>
        <v/>
      </c>
      <c r="AA303" s="16">
        <f>Z303-V303-W303-Q303-X303-Y303</f>
        <v/>
      </c>
      <c r="AB303" s="17">
        <f>IF(Z303=0,0,AA303/Z303)</f>
        <v/>
      </c>
      <c r="AC303" s="17">
        <f>IF(V303=0,0,AA303/V303)</f>
        <v/>
      </c>
      <c r="AD303" s="18">
        <f>R303*V303</f>
        <v/>
      </c>
      <c r="AE303" s="16">
        <f>IF(AB303&gt;='الافتراضات'!$B$9,IF(O303="لا","ابدأ به","جيد – يحتاج شهادة"),IF(AB303&gt;='الافتراضات'!$B$10,"مقبول","ضعيف"))</f>
        <v/>
      </c>
      <c r="AF303" s="16">
        <f>IF((1-'الافتراضات'!$B$9)/(1+'الافتراضات'!$B$6)-P303-'الافتراضات'!$B$7-'الافتراضات'!$B$8&lt;=0,0,(V303+Q303)/((1-'الافتراضات'!$B$9)/(1+'الافتراضات'!$B$6)-P303-'الافتراضات'!$B$7-'الافتراضات'!$B$8))</f>
        <v/>
      </c>
    </row>
    <row r="304">
      <c r="A304" s="10" t="n">
        <v>303</v>
      </c>
      <c r="B304" s="11" t="inlineStr">
        <is>
          <t>الرياضة واللياقة</t>
        </is>
      </c>
      <c r="C304" s="11" t="inlineStr">
        <is>
          <t>هدف كرة قدم قابل للطي</t>
        </is>
      </c>
      <c r="D304" s="11" t="inlineStr">
        <is>
          <t>foldable soccer goal</t>
        </is>
      </c>
      <c r="E304" s="12" t="n">
        <v>136</v>
      </c>
      <c r="F304" s="10" t="inlineStr">
        <is>
          <t>تقدير</t>
        </is>
      </c>
      <c r="G304" s="10" t="inlineStr">
        <is>
          <t>تقدير</t>
        </is>
      </c>
      <c r="H304" s="10" t="inlineStr">
        <is>
          <t>لم تُفحص</t>
        </is>
      </c>
      <c r="I304" s="10" t="inlineStr">
        <is>
          <t>لم يُفحص</t>
        </is>
      </c>
      <c r="J304" s="13" t="n">
        <v>12</v>
      </c>
      <c r="K304" s="11" t="inlineStr">
        <is>
          <t>تقدير</t>
        </is>
      </c>
      <c r="L304" s="14" t="n">
        <v>2.5</v>
      </c>
      <c r="M304" s="10" t="inlineStr">
        <is>
          <t>كبير</t>
        </is>
      </c>
      <c r="N304" s="11" t="inlineStr">
        <is>
          <t>طوال السنة</t>
        </is>
      </c>
      <c r="O304" s="11" t="inlineStr">
        <is>
          <t>لا</t>
        </is>
      </c>
      <c r="P304" s="15" t="n">
        <v>0.13</v>
      </c>
      <c r="Q304" s="14" t="n">
        <v>16</v>
      </c>
      <c r="R304" s="14" t="n">
        <v>50</v>
      </c>
      <c r="S304" s="16">
        <f>J304*'الافتراضات'!$B$2*(1+'الافتراضات'!$B$3)</f>
        <v/>
      </c>
      <c r="T304" s="16">
        <f>L304*'الافتراضات'!$B$4</f>
        <v/>
      </c>
      <c r="U304" s="16">
        <f>(S304+T304)*'الافتراضات'!$B$5</f>
        <v/>
      </c>
      <c r="V304" s="16">
        <f>S304+T304+U304</f>
        <v/>
      </c>
      <c r="W304" s="16">
        <f>MAX(1,E304*P304)</f>
        <v/>
      </c>
      <c r="X304" s="16">
        <f>E304*'الافتراضات'!$B$7</f>
        <v/>
      </c>
      <c r="Y304" s="16">
        <f>E304*'الافتراضات'!$B$8</f>
        <v/>
      </c>
      <c r="Z304" s="16">
        <f>E304/(1+'الافتراضات'!$B$6)</f>
        <v/>
      </c>
      <c r="AA304" s="16">
        <f>Z304-V304-W304-Q304-X304-Y304</f>
        <v/>
      </c>
      <c r="AB304" s="17">
        <f>IF(Z304=0,0,AA304/Z304)</f>
        <v/>
      </c>
      <c r="AC304" s="17">
        <f>IF(V304=0,0,AA304/V304)</f>
        <v/>
      </c>
      <c r="AD304" s="18">
        <f>R304*V304</f>
        <v/>
      </c>
      <c r="AE304" s="16">
        <f>IF(AB304&gt;='الافتراضات'!$B$9,IF(O304="لا","ابدأ به","جيد – يحتاج شهادة"),IF(AB304&gt;='الافتراضات'!$B$10,"مقبول","ضعيف"))</f>
        <v/>
      </c>
      <c r="AF304" s="16">
        <f>IF((1-'الافتراضات'!$B$9)/(1+'الافتراضات'!$B$6)-P304-'الافتراضات'!$B$7-'الافتراضات'!$B$8&lt;=0,0,(V304+Q304)/((1-'الافتراضات'!$B$9)/(1+'الافتراضات'!$B$6)-P304-'الافتراضات'!$B$7-'الافتراضات'!$B$8))</f>
        <v/>
      </c>
    </row>
    <row r="305">
      <c r="A305" s="10" t="n">
        <v>304</v>
      </c>
      <c r="B305" s="11" t="inlineStr">
        <is>
          <t>رمضان والمناسبات</t>
        </is>
      </c>
      <c r="C305" s="11" t="inlineStr">
        <is>
          <t>طقم ضيافة قهوة وتمر</t>
        </is>
      </c>
      <c r="D305" s="11" t="inlineStr">
        <is>
          <t>arabic coffee dates serving set</t>
        </is>
      </c>
      <c r="E305" s="12" t="n">
        <v>91</v>
      </c>
      <c r="F305" s="10" t="inlineStr">
        <is>
          <t>تقدير</t>
        </is>
      </c>
      <c r="G305" s="10" t="inlineStr">
        <is>
          <t>تقدير</t>
        </is>
      </c>
      <c r="H305" s="10" t="inlineStr">
        <is>
          <t>لم تُفحص</t>
        </is>
      </c>
      <c r="I305" s="10" t="inlineStr">
        <is>
          <t>لم يُفحص</t>
        </is>
      </c>
      <c r="J305" s="13" t="n">
        <v>8</v>
      </c>
      <c r="K305" s="11" t="inlineStr">
        <is>
          <t>تقدير</t>
        </is>
      </c>
      <c r="L305" s="14" t="n">
        <v>1.5</v>
      </c>
      <c r="M305" s="10" t="inlineStr">
        <is>
          <t>متوسط</t>
        </is>
      </c>
      <c r="N305" s="11" t="inlineStr">
        <is>
          <t>رمضان والمناسبات</t>
        </is>
      </c>
      <c r="O305" s="11" t="inlineStr">
        <is>
          <t>ملامس للغذاء (SFDA)</t>
        </is>
      </c>
      <c r="P305" s="15" t="n">
        <v>0.14</v>
      </c>
      <c r="Q305" s="14" t="n">
        <v>11.5</v>
      </c>
      <c r="R305" s="14" t="n">
        <v>50</v>
      </c>
      <c r="S305" s="16">
        <f>J305*'الافتراضات'!$B$2*(1+'الافتراضات'!$B$3)</f>
        <v/>
      </c>
      <c r="T305" s="16">
        <f>L305*'الافتراضات'!$B$4</f>
        <v/>
      </c>
      <c r="U305" s="16">
        <f>(S305+T305)*'الافتراضات'!$B$5</f>
        <v/>
      </c>
      <c r="V305" s="16">
        <f>S305+T305+U305</f>
        <v/>
      </c>
      <c r="W305" s="16">
        <f>MAX(1,E305*P305)</f>
        <v/>
      </c>
      <c r="X305" s="16">
        <f>E305*'الافتراضات'!$B$7</f>
        <v/>
      </c>
      <c r="Y305" s="16">
        <f>E305*'الافتراضات'!$B$8</f>
        <v/>
      </c>
      <c r="Z305" s="16">
        <f>E305/(1+'الافتراضات'!$B$6)</f>
        <v/>
      </c>
      <c r="AA305" s="16">
        <f>Z305-V305-W305-Q305-X305-Y305</f>
        <v/>
      </c>
      <c r="AB305" s="17">
        <f>IF(Z305=0,0,AA305/Z305)</f>
        <v/>
      </c>
      <c r="AC305" s="17">
        <f>IF(V305=0,0,AA305/V305)</f>
        <v/>
      </c>
      <c r="AD305" s="18">
        <f>R305*V305</f>
        <v/>
      </c>
      <c r="AE305" s="16">
        <f>IF(AB305&gt;='الافتراضات'!$B$9,IF(O305="لا","ابدأ به","جيد – يحتاج شهادة"),IF(AB305&gt;='الافتراضات'!$B$10,"مقبول","ضعيف"))</f>
        <v/>
      </c>
      <c r="AF305" s="16">
        <f>IF((1-'الافتراضات'!$B$9)/(1+'الافتراضات'!$B$6)-P305-'الافتراضات'!$B$7-'الافتراضات'!$B$8&lt;=0,0,(V305+Q305)/((1-'الافتراضات'!$B$9)/(1+'الافتراضات'!$B$6)-P305-'الافتراضات'!$B$7-'الافتراضات'!$B$8))</f>
        <v/>
      </c>
    </row>
    <row r="306">
      <c r="A306" s="10" t="n">
        <v>305</v>
      </c>
      <c r="B306" s="11" t="inlineStr">
        <is>
          <t>المنزل والمطبخ</t>
        </is>
      </c>
      <c r="C306" s="11" t="inlineStr">
        <is>
          <t>حامل لفة مناديل للمطبخ</t>
        </is>
      </c>
      <c r="D306" s="11" t="inlineStr">
        <is>
          <t>kitchen paper towel holder</t>
        </is>
      </c>
      <c r="E306" s="12" t="n">
        <v>25</v>
      </c>
      <c r="F306" s="10" t="inlineStr">
        <is>
          <t>تقدير</t>
        </is>
      </c>
      <c r="G306" s="10" t="inlineStr">
        <is>
          <t>تقدير</t>
        </is>
      </c>
      <c r="H306" s="10" t="inlineStr">
        <is>
          <t>لم تُفحص</t>
        </is>
      </c>
      <c r="I306" s="10" t="inlineStr">
        <is>
          <t>لم يُفحص</t>
        </is>
      </c>
      <c r="J306" s="13" t="n">
        <v>1.4</v>
      </c>
      <c r="K306" s="11" t="inlineStr">
        <is>
          <t>تقدير</t>
        </is>
      </c>
      <c r="L306" s="14" t="n">
        <v>0.3</v>
      </c>
      <c r="M306" s="10" t="inlineStr">
        <is>
          <t>صغير</t>
        </is>
      </c>
      <c r="N306" s="11" t="inlineStr">
        <is>
          <t>طوال السنة</t>
        </is>
      </c>
      <c r="O306" s="11" t="inlineStr">
        <is>
          <t>لا</t>
        </is>
      </c>
      <c r="P306" s="15" t="n">
        <v>0.14</v>
      </c>
      <c r="Q306" s="14" t="n">
        <v>7.5</v>
      </c>
      <c r="R306" s="14" t="n">
        <v>50</v>
      </c>
      <c r="S306" s="16">
        <f>J306*'الافتراضات'!$B$2*(1+'الافتراضات'!$B$3)</f>
        <v/>
      </c>
      <c r="T306" s="16">
        <f>L306*'الافتراضات'!$B$4</f>
        <v/>
      </c>
      <c r="U306" s="16">
        <f>(S306+T306)*'الافتراضات'!$B$5</f>
        <v/>
      </c>
      <c r="V306" s="16">
        <f>S306+T306+U306</f>
        <v/>
      </c>
      <c r="W306" s="16">
        <f>MAX(1,E306*P306)</f>
        <v/>
      </c>
      <c r="X306" s="16">
        <f>E306*'الافتراضات'!$B$7</f>
        <v/>
      </c>
      <c r="Y306" s="16">
        <f>E306*'الافتراضات'!$B$8</f>
        <v/>
      </c>
      <c r="Z306" s="16">
        <f>E306/(1+'الافتراضات'!$B$6)</f>
        <v/>
      </c>
      <c r="AA306" s="16">
        <f>Z306-V306-W306-Q306-X306-Y306</f>
        <v/>
      </c>
      <c r="AB306" s="17">
        <f>IF(Z306=0,0,AA306/Z306)</f>
        <v/>
      </c>
      <c r="AC306" s="17">
        <f>IF(V306=0,0,AA306/V306)</f>
        <v/>
      </c>
      <c r="AD306" s="18">
        <f>R306*V306</f>
        <v/>
      </c>
      <c r="AE306" s="16">
        <f>IF(AB306&gt;='الافتراضات'!$B$9,IF(O306="لا","ابدأ به","جيد – يحتاج شهادة"),IF(AB306&gt;='الافتراضات'!$B$10,"مقبول","ضعيف"))</f>
        <v/>
      </c>
      <c r="AF306" s="16">
        <f>IF((1-'الافتراضات'!$B$9)/(1+'الافتراضات'!$B$6)-P306-'الافتراضات'!$B$7-'الافتراضات'!$B$8&lt;=0,0,(V306+Q306)/((1-'الافتراضات'!$B$9)/(1+'الافتراضات'!$B$6)-P306-'الافتراضات'!$B$7-'الافتراضات'!$B$8))</f>
        <v/>
      </c>
    </row>
    <row r="307">
      <c r="A307" s="10" t="n">
        <v>306</v>
      </c>
      <c r="B307" s="11" t="inlineStr">
        <is>
          <t>إكسسوارات الجوال والإلكترونيات</t>
        </is>
      </c>
      <c r="C307" s="11" t="inlineStr">
        <is>
          <t>ماوس ألعاب سلكي RGB</t>
        </is>
      </c>
      <c r="D307" s="11" t="inlineStr">
        <is>
          <t>gaming mouse wired RGB</t>
        </is>
      </c>
      <c r="E307" s="12" t="n">
        <v>40</v>
      </c>
      <c r="F307" s="10" t="inlineStr">
        <is>
          <t>تقدير</t>
        </is>
      </c>
      <c r="G307" s="10" t="inlineStr">
        <is>
          <t>تقدير</t>
        </is>
      </c>
      <c r="H307" s="10" t="inlineStr">
        <is>
          <t>لم تُفحص</t>
        </is>
      </c>
      <c r="I307" s="10" t="inlineStr">
        <is>
          <t>لم يُفحص</t>
        </is>
      </c>
      <c r="J307" s="13" t="n">
        <v>3.5</v>
      </c>
      <c r="K307" s="11" t="inlineStr">
        <is>
          <t>تقدير</t>
        </is>
      </c>
      <c r="L307" s="14" t="n">
        <v>0.25</v>
      </c>
      <c r="M307" s="10" t="inlineStr">
        <is>
          <t>صغير</t>
        </is>
      </c>
      <c r="N307" s="11" t="inlineStr">
        <is>
          <t>طوال السنة</t>
        </is>
      </c>
      <c r="O307" s="11" t="inlineStr">
        <is>
          <t>SABER</t>
        </is>
      </c>
      <c r="P307" s="15" t="n">
        <v>0.13</v>
      </c>
      <c r="Q307" s="14" t="n">
        <v>9</v>
      </c>
      <c r="R307" s="14" t="n">
        <v>50</v>
      </c>
      <c r="S307" s="16">
        <f>J307*'الافتراضات'!$B$2*(1+'الافتراضات'!$B$3)</f>
        <v/>
      </c>
      <c r="T307" s="16">
        <f>L307*'الافتراضات'!$B$4</f>
        <v/>
      </c>
      <c r="U307" s="16">
        <f>(S307+T307)*'الافتراضات'!$B$5</f>
        <v/>
      </c>
      <c r="V307" s="16">
        <f>S307+T307+U307</f>
        <v/>
      </c>
      <c r="W307" s="16">
        <f>MAX(1,E307*P307)</f>
        <v/>
      </c>
      <c r="X307" s="16">
        <f>E307*'الافتراضات'!$B$7</f>
        <v/>
      </c>
      <c r="Y307" s="16">
        <f>E307*'الافتراضات'!$B$8</f>
        <v/>
      </c>
      <c r="Z307" s="16">
        <f>E307/(1+'الافتراضات'!$B$6)</f>
        <v/>
      </c>
      <c r="AA307" s="16">
        <f>Z307-V307-W307-Q307-X307-Y307</f>
        <v/>
      </c>
      <c r="AB307" s="17">
        <f>IF(Z307=0,0,AA307/Z307)</f>
        <v/>
      </c>
      <c r="AC307" s="17">
        <f>IF(V307=0,0,AA307/V307)</f>
        <v/>
      </c>
      <c r="AD307" s="18">
        <f>R307*V307</f>
        <v/>
      </c>
      <c r="AE307" s="16">
        <f>IF(AB307&gt;='الافتراضات'!$B$9,IF(O307="لا","ابدأ به","جيد – يحتاج شهادة"),IF(AB307&gt;='الافتراضات'!$B$10,"مقبول","ضعيف"))</f>
        <v/>
      </c>
      <c r="AF307" s="16">
        <f>IF((1-'الافتراضات'!$B$9)/(1+'الافتراضات'!$B$6)-P307-'الافتراضات'!$B$7-'الافتراضات'!$B$8&lt;=0,0,(V307+Q307)/((1-'الافتراضات'!$B$9)/(1+'الافتراضات'!$B$6)-P307-'الافتراضات'!$B$7-'الافتراضات'!$B$8))</f>
        <v/>
      </c>
    </row>
    <row r="308">
      <c r="A308" s="10" t="n">
        <v>307</v>
      </c>
      <c r="B308" s="11" t="inlineStr">
        <is>
          <t>الأطفال والألعاب</t>
        </is>
      </c>
      <c r="C308" s="11" t="inlineStr">
        <is>
          <t>مكعبات تركيب مغناطيسية 60 قطعة</t>
        </is>
      </c>
      <c r="D308" s="11" t="inlineStr">
        <is>
          <t>magnetic tiles building blocks 60 pcs</t>
        </is>
      </c>
      <c r="E308" s="12" t="n">
        <v>102</v>
      </c>
      <c r="F308" s="10" t="inlineStr">
        <is>
          <t>تقدير</t>
        </is>
      </c>
      <c r="G308" s="10" t="inlineStr">
        <is>
          <t>تقدير</t>
        </is>
      </c>
      <c r="H308" s="10" t="inlineStr">
        <is>
          <t>لم تُفحص</t>
        </is>
      </c>
      <c r="I308" s="10" t="inlineStr">
        <is>
          <t>لم يُفحص</t>
        </is>
      </c>
      <c r="J308" s="13" t="n">
        <v>9</v>
      </c>
      <c r="K308" s="11" t="inlineStr">
        <is>
          <t>تقدير</t>
        </is>
      </c>
      <c r="L308" s="14" t="n">
        <v>1.8</v>
      </c>
      <c r="M308" s="10" t="inlineStr">
        <is>
          <t>متوسط</t>
        </is>
      </c>
      <c r="N308" s="11" t="inlineStr">
        <is>
          <t>طوال السنة</t>
        </is>
      </c>
      <c r="O308" s="11" t="inlineStr">
        <is>
          <t>اشتراطات سلامة الألعاب</t>
        </is>
      </c>
      <c r="P308" s="15" t="n">
        <v>0.14</v>
      </c>
      <c r="Q308" s="14" t="n">
        <v>12</v>
      </c>
      <c r="R308" s="14" t="n">
        <v>50</v>
      </c>
      <c r="S308" s="16">
        <f>J308*'الافتراضات'!$B$2*(1+'الافتراضات'!$B$3)</f>
        <v/>
      </c>
      <c r="T308" s="16">
        <f>L308*'الافتراضات'!$B$4</f>
        <v/>
      </c>
      <c r="U308" s="16">
        <f>(S308+T308)*'الافتراضات'!$B$5</f>
        <v/>
      </c>
      <c r="V308" s="16">
        <f>S308+T308+U308</f>
        <v/>
      </c>
      <c r="W308" s="16">
        <f>MAX(1,E308*P308)</f>
        <v/>
      </c>
      <c r="X308" s="16">
        <f>E308*'الافتراضات'!$B$7</f>
        <v/>
      </c>
      <c r="Y308" s="16">
        <f>E308*'الافتراضات'!$B$8</f>
        <v/>
      </c>
      <c r="Z308" s="16">
        <f>E308/(1+'الافتراضات'!$B$6)</f>
        <v/>
      </c>
      <c r="AA308" s="16">
        <f>Z308-V308-W308-Q308-X308-Y308</f>
        <v/>
      </c>
      <c r="AB308" s="17">
        <f>IF(Z308=0,0,AA308/Z308)</f>
        <v/>
      </c>
      <c r="AC308" s="17">
        <f>IF(V308=0,0,AA308/V308)</f>
        <v/>
      </c>
      <c r="AD308" s="18">
        <f>R308*V308</f>
        <v/>
      </c>
      <c r="AE308" s="16">
        <f>IF(AB308&gt;='الافتراضات'!$B$9,IF(O308="لا","ابدأ به","جيد – يحتاج شهادة"),IF(AB308&gt;='الافتراضات'!$B$10,"مقبول","ضعيف"))</f>
        <v/>
      </c>
      <c r="AF308" s="16">
        <f>IF((1-'الافتراضات'!$B$9)/(1+'الافتراضات'!$B$6)-P308-'الافتراضات'!$B$7-'الافتراضات'!$B$8&lt;=0,0,(V308+Q308)/((1-'الافتراضات'!$B$9)/(1+'الافتراضات'!$B$6)-P308-'الافتراضات'!$B$7-'الافتراضات'!$B$8))</f>
        <v/>
      </c>
    </row>
    <row r="309">
      <c r="A309" s="10" t="n">
        <v>308</v>
      </c>
      <c r="B309" s="11" t="inlineStr">
        <is>
          <t>إكسسوارات الجوال والإلكترونيات</t>
        </is>
      </c>
      <c r="C309" s="11" t="inlineStr">
        <is>
          <t>مروحة تبريد للابتوب</t>
        </is>
      </c>
      <c r="D309" s="11" t="inlineStr">
        <is>
          <t>laptop cooling pad fan</t>
        </is>
      </c>
      <c r="E309" s="12" t="n">
        <v>57</v>
      </c>
      <c r="F309" s="10" t="inlineStr">
        <is>
          <t>تقدير</t>
        </is>
      </c>
      <c r="G309" s="10" t="inlineStr">
        <is>
          <t>تقدير</t>
        </is>
      </c>
      <c r="H309" s="10" t="inlineStr">
        <is>
          <t>لم تُفحص</t>
        </is>
      </c>
      <c r="I309" s="10" t="inlineStr">
        <is>
          <t>لم يُفحص</t>
        </is>
      </c>
      <c r="J309" s="13" t="n">
        <v>5</v>
      </c>
      <c r="K309" s="11" t="inlineStr">
        <is>
          <t>تقدير</t>
        </is>
      </c>
      <c r="L309" s="14" t="n">
        <v>0.7</v>
      </c>
      <c r="M309" s="10" t="inlineStr">
        <is>
          <t>متوسط</t>
        </is>
      </c>
      <c r="N309" s="11" t="inlineStr">
        <is>
          <t>طوال السنة</t>
        </is>
      </c>
      <c r="O309" s="11" t="inlineStr">
        <is>
          <t>SABER</t>
        </is>
      </c>
      <c r="P309" s="15" t="n">
        <v>0.13</v>
      </c>
      <c r="Q309" s="14" t="n">
        <v>10</v>
      </c>
      <c r="R309" s="14" t="n">
        <v>50</v>
      </c>
      <c r="S309" s="16">
        <f>J309*'الافتراضات'!$B$2*(1+'الافتراضات'!$B$3)</f>
        <v/>
      </c>
      <c r="T309" s="16">
        <f>L309*'الافتراضات'!$B$4</f>
        <v/>
      </c>
      <c r="U309" s="16">
        <f>(S309+T309)*'الافتراضات'!$B$5</f>
        <v/>
      </c>
      <c r="V309" s="16">
        <f>S309+T309+U309</f>
        <v/>
      </c>
      <c r="W309" s="16">
        <f>MAX(1,E309*P309)</f>
        <v/>
      </c>
      <c r="X309" s="16">
        <f>E309*'الافتراضات'!$B$7</f>
        <v/>
      </c>
      <c r="Y309" s="16">
        <f>E309*'الافتراضات'!$B$8</f>
        <v/>
      </c>
      <c r="Z309" s="16">
        <f>E309/(1+'الافتراضات'!$B$6)</f>
        <v/>
      </c>
      <c r="AA309" s="16">
        <f>Z309-V309-W309-Q309-X309-Y309</f>
        <v/>
      </c>
      <c r="AB309" s="17">
        <f>IF(Z309=0,0,AA309/Z309)</f>
        <v/>
      </c>
      <c r="AC309" s="17">
        <f>IF(V309=0,0,AA309/V309)</f>
        <v/>
      </c>
      <c r="AD309" s="18">
        <f>R309*V309</f>
        <v/>
      </c>
      <c r="AE309" s="16">
        <f>IF(AB309&gt;='الافتراضات'!$B$9,IF(O309="لا","ابدأ به","جيد – يحتاج شهادة"),IF(AB309&gt;='الافتراضات'!$B$10,"مقبول","ضعيف"))</f>
        <v/>
      </c>
      <c r="AF309" s="16">
        <f>IF((1-'الافتراضات'!$B$9)/(1+'الافتراضات'!$B$6)-P309-'الافتراضات'!$B$7-'الافتراضات'!$B$8&lt;=0,0,(V309+Q309)/((1-'الافتراضات'!$B$9)/(1+'الافتراضات'!$B$6)-P309-'الافتراضات'!$B$7-'الافتراضات'!$B$8))</f>
        <v/>
      </c>
    </row>
    <row r="310">
      <c r="A310" s="10" t="n">
        <v>309</v>
      </c>
      <c r="B310" s="11" t="inlineStr">
        <is>
          <t>المنزل والمطبخ</t>
        </is>
      </c>
      <c r="C310" s="11" t="inlineStr">
        <is>
          <t>مرطب هواء بخار بارد</t>
        </is>
      </c>
      <c r="D310" s="11" t="inlineStr">
        <is>
          <t>cool mist humidifier</t>
        </is>
      </c>
      <c r="E310" s="12" t="n">
        <v>68</v>
      </c>
      <c r="F310" s="10" t="inlineStr">
        <is>
          <t>تقدير</t>
        </is>
      </c>
      <c r="G310" s="10" t="inlineStr">
        <is>
          <t>تقدير</t>
        </is>
      </c>
      <c r="H310" s="10" t="inlineStr">
        <is>
          <t>لم تُفحص</t>
        </is>
      </c>
      <c r="I310" s="10" t="inlineStr">
        <is>
          <t>لم يُفحص</t>
        </is>
      </c>
      <c r="J310" s="13" t="n">
        <v>6</v>
      </c>
      <c r="K310" s="11" t="inlineStr">
        <is>
          <t>تقدير</t>
        </is>
      </c>
      <c r="L310" s="14" t="n">
        <v>0.9</v>
      </c>
      <c r="M310" s="10" t="inlineStr">
        <is>
          <t>متوسط</t>
        </is>
      </c>
      <c r="N310" s="11" t="inlineStr">
        <is>
          <t>طوال السنة</t>
        </is>
      </c>
      <c r="O310" s="11" t="inlineStr">
        <is>
          <t>SABER</t>
        </is>
      </c>
      <c r="P310" s="15" t="n">
        <v>0.15</v>
      </c>
      <c r="Q310" s="14" t="n">
        <v>10</v>
      </c>
      <c r="R310" s="14" t="n">
        <v>50</v>
      </c>
      <c r="S310" s="16">
        <f>J310*'الافتراضات'!$B$2*(1+'الافتراضات'!$B$3)</f>
        <v/>
      </c>
      <c r="T310" s="16">
        <f>L310*'الافتراضات'!$B$4</f>
        <v/>
      </c>
      <c r="U310" s="16">
        <f>(S310+T310)*'الافتراضات'!$B$5</f>
        <v/>
      </c>
      <c r="V310" s="16">
        <f>S310+T310+U310</f>
        <v/>
      </c>
      <c r="W310" s="16">
        <f>MAX(1,E310*P310)</f>
        <v/>
      </c>
      <c r="X310" s="16">
        <f>E310*'الافتراضات'!$B$7</f>
        <v/>
      </c>
      <c r="Y310" s="16">
        <f>E310*'الافتراضات'!$B$8</f>
        <v/>
      </c>
      <c r="Z310" s="16">
        <f>E310/(1+'الافتراضات'!$B$6)</f>
        <v/>
      </c>
      <c r="AA310" s="16">
        <f>Z310-V310-W310-Q310-X310-Y310</f>
        <v/>
      </c>
      <c r="AB310" s="17">
        <f>IF(Z310=0,0,AA310/Z310)</f>
        <v/>
      </c>
      <c r="AC310" s="17">
        <f>IF(V310=0,0,AA310/V310)</f>
        <v/>
      </c>
      <c r="AD310" s="18">
        <f>R310*V310</f>
        <v/>
      </c>
      <c r="AE310" s="16">
        <f>IF(AB310&gt;='الافتراضات'!$B$9,IF(O310="لا","ابدأ به","جيد – يحتاج شهادة"),IF(AB310&gt;='الافتراضات'!$B$10,"مقبول","ضعيف"))</f>
        <v/>
      </c>
      <c r="AF310" s="16">
        <f>IF((1-'الافتراضات'!$B$9)/(1+'الافتراضات'!$B$6)-P310-'الافتراضات'!$B$7-'الافتراضات'!$B$8&lt;=0,0,(V310+Q310)/((1-'الافتراضات'!$B$9)/(1+'الافتراضات'!$B$6)-P310-'الافتراضات'!$B$7-'الافتراضات'!$B$8))</f>
        <v/>
      </c>
    </row>
    <row r="311">
      <c r="A311" s="10" t="n">
        <v>310</v>
      </c>
      <c r="B311" s="11" t="inlineStr">
        <is>
          <t>الأدوات والصيانة</t>
        </is>
      </c>
      <c r="C311" s="11" t="inlineStr">
        <is>
          <t>مكواة لحام</t>
        </is>
      </c>
      <c r="D311" s="11" t="inlineStr">
        <is>
          <t>soldering iron kit</t>
        </is>
      </c>
      <c r="E311" s="12" t="n">
        <v>51</v>
      </c>
      <c r="F311" s="10" t="inlineStr">
        <is>
          <t>تقدير</t>
        </is>
      </c>
      <c r="G311" s="10" t="inlineStr">
        <is>
          <t>تقدير</t>
        </is>
      </c>
      <c r="H311" s="10" t="inlineStr">
        <is>
          <t>لم تُفحص</t>
        </is>
      </c>
      <c r="I311" s="10" t="inlineStr">
        <is>
          <t>لم يُفحص</t>
        </is>
      </c>
      <c r="J311" s="13" t="n">
        <v>4.5</v>
      </c>
      <c r="K311" s="11" t="inlineStr">
        <is>
          <t>تقدير</t>
        </is>
      </c>
      <c r="L311" s="14" t="n">
        <v>0.5</v>
      </c>
      <c r="M311" s="10" t="inlineStr">
        <is>
          <t>متوسط</t>
        </is>
      </c>
      <c r="N311" s="11" t="inlineStr">
        <is>
          <t>طوال السنة</t>
        </is>
      </c>
      <c r="O311" s="11" t="inlineStr">
        <is>
          <t>SABER</t>
        </is>
      </c>
      <c r="P311" s="15" t="n">
        <v>0.14</v>
      </c>
      <c r="Q311" s="14" t="n">
        <v>9.5</v>
      </c>
      <c r="R311" s="14" t="n">
        <v>50</v>
      </c>
      <c r="S311" s="16">
        <f>J311*'الافتراضات'!$B$2*(1+'الافتراضات'!$B$3)</f>
        <v/>
      </c>
      <c r="T311" s="16">
        <f>L311*'الافتراضات'!$B$4</f>
        <v/>
      </c>
      <c r="U311" s="16">
        <f>(S311+T311)*'الافتراضات'!$B$5</f>
        <v/>
      </c>
      <c r="V311" s="16">
        <f>S311+T311+U311</f>
        <v/>
      </c>
      <c r="W311" s="16">
        <f>MAX(1,E311*P311)</f>
        <v/>
      </c>
      <c r="X311" s="16">
        <f>E311*'الافتراضات'!$B$7</f>
        <v/>
      </c>
      <c r="Y311" s="16">
        <f>E311*'الافتراضات'!$B$8</f>
        <v/>
      </c>
      <c r="Z311" s="16">
        <f>E311/(1+'الافتراضات'!$B$6)</f>
        <v/>
      </c>
      <c r="AA311" s="16">
        <f>Z311-V311-W311-Q311-X311-Y311</f>
        <v/>
      </c>
      <c r="AB311" s="17">
        <f>IF(Z311=0,0,AA311/Z311)</f>
        <v/>
      </c>
      <c r="AC311" s="17">
        <f>IF(V311=0,0,AA311/V311)</f>
        <v/>
      </c>
      <c r="AD311" s="18">
        <f>R311*V311</f>
        <v/>
      </c>
      <c r="AE311" s="16">
        <f>IF(AB311&gt;='الافتراضات'!$B$9,IF(O311="لا","ابدأ به","جيد – يحتاج شهادة"),IF(AB311&gt;='الافتراضات'!$B$10,"مقبول","ضعيف"))</f>
        <v/>
      </c>
      <c r="AF311" s="16">
        <f>IF((1-'الافتراضات'!$B$9)/(1+'الافتراضات'!$B$6)-P311-'الافتراضات'!$B$7-'الافتراضات'!$B$8&lt;=0,0,(V311+Q311)/((1-'الافتراضات'!$B$9)/(1+'الافتراضات'!$B$6)-P311-'الافتراضات'!$B$7-'الافتراضات'!$B$8))</f>
        <v/>
      </c>
    </row>
    <row r="312">
      <c r="A312" s="10" t="n">
        <v>311</v>
      </c>
      <c r="B312" s="11" t="inlineStr">
        <is>
          <t>الأدوات والصيانة</t>
        </is>
      </c>
      <c r="C312" s="11" t="inlineStr">
        <is>
          <t>ملتيميتر رقمي</t>
        </is>
      </c>
      <c r="D312" s="11" t="inlineStr">
        <is>
          <t>digital multimeter</t>
        </is>
      </c>
      <c r="E312" s="12" t="n">
        <v>45</v>
      </c>
      <c r="F312" s="10" t="inlineStr">
        <is>
          <t>تقدير</t>
        </is>
      </c>
      <c r="G312" s="10" t="inlineStr">
        <is>
          <t>تقدير</t>
        </is>
      </c>
      <c r="H312" s="10" t="inlineStr">
        <is>
          <t>لم تُفحص</t>
        </is>
      </c>
      <c r="I312" s="10" t="inlineStr">
        <is>
          <t>لم يُفحص</t>
        </is>
      </c>
      <c r="J312" s="13" t="n">
        <v>4</v>
      </c>
      <c r="K312" s="11" t="inlineStr">
        <is>
          <t>تقدير</t>
        </is>
      </c>
      <c r="L312" s="14" t="n">
        <v>0.3</v>
      </c>
      <c r="M312" s="10" t="inlineStr">
        <is>
          <t>صغير</t>
        </is>
      </c>
      <c r="N312" s="11" t="inlineStr">
        <is>
          <t>طوال السنة</t>
        </is>
      </c>
      <c r="O312" s="11" t="inlineStr">
        <is>
          <t>لا</t>
        </is>
      </c>
      <c r="P312" s="15" t="n">
        <v>0.14</v>
      </c>
      <c r="Q312" s="14" t="n">
        <v>9.5</v>
      </c>
      <c r="R312" s="14" t="n">
        <v>50</v>
      </c>
      <c r="S312" s="16">
        <f>J312*'الافتراضات'!$B$2*(1+'الافتراضات'!$B$3)</f>
        <v/>
      </c>
      <c r="T312" s="16">
        <f>L312*'الافتراضات'!$B$4</f>
        <v/>
      </c>
      <c r="U312" s="16">
        <f>(S312+T312)*'الافتراضات'!$B$5</f>
        <v/>
      </c>
      <c r="V312" s="16">
        <f>S312+T312+U312</f>
        <v/>
      </c>
      <c r="W312" s="16">
        <f>MAX(1,E312*P312)</f>
        <v/>
      </c>
      <c r="X312" s="16">
        <f>E312*'الافتراضات'!$B$7</f>
        <v/>
      </c>
      <c r="Y312" s="16">
        <f>E312*'الافتراضات'!$B$8</f>
        <v/>
      </c>
      <c r="Z312" s="16">
        <f>E312/(1+'الافتراضات'!$B$6)</f>
        <v/>
      </c>
      <c r="AA312" s="16">
        <f>Z312-V312-W312-Q312-X312-Y312</f>
        <v/>
      </c>
      <c r="AB312" s="17">
        <f>IF(Z312=0,0,AA312/Z312)</f>
        <v/>
      </c>
      <c r="AC312" s="17">
        <f>IF(V312=0,0,AA312/V312)</f>
        <v/>
      </c>
      <c r="AD312" s="18">
        <f>R312*V312</f>
        <v/>
      </c>
      <c r="AE312" s="16">
        <f>IF(AB312&gt;='الافتراضات'!$B$9,IF(O312="لا","ابدأ به","جيد – يحتاج شهادة"),IF(AB312&gt;='الافتراضات'!$B$10,"مقبول","ضعيف"))</f>
        <v/>
      </c>
      <c r="AF312" s="16">
        <f>IF((1-'الافتراضات'!$B$9)/(1+'الافتراضات'!$B$6)-P312-'الافتراضات'!$B$7-'الافتراضات'!$B$8&lt;=0,0,(V312+Q312)/((1-'الافتراضات'!$B$9)/(1+'الافتراضات'!$B$6)-P312-'الافتراضات'!$B$7-'الافتراضات'!$B$8))</f>
        <v/>
      </c>
    </row>
    <row r="313">
      <c r="A313" s="10" t="n">
        <v>312</v>
      </c>
      <c r="B313" s="11" t="inlineStr">
        <is>
          <t>الأطفال والألعاب</t>
        </is>
      </c>
      <c r="C313" s="11" t="inlineStr">
        <is>
          <t>سماعات أطفال لتحديد الصوت</t>
        </is>
      </c>
      <c r="D313" s="11" t="inlineStr">
        <is>
          <t>kids headphones volume limit</t>
        </is>
      </c>
      <c r="E313" s="12" t="n">
        <v>45</v>
      </c>
      <c r="F313" s="10" t="inlineStr">
        <is>
          <t>تقدير</t>
        </is>
      </c>
      <c r="G313" s="10" t="inlineStr">
        <is>
          <t>تقدير</t>
        </is>
      </c>
      <c r="H313" s="10" t="inlineStr">
        <is>
          <t>لم تُفحص</t>
        </is>
      </c>
      <c r="I313" s="10" t="inlineStr">
        <is>
          <t>لم يُفحص</t>
        </is>
      </c>
      <c r="J313" s="13" t="n">
        <v>4</v>
      </c>
      <c r="K313" s="11" t="inlineStr">
        <is>
          <t>تقدير</t>
        </is>
      </c>
      <c r="L313" s="14" t="n">
        <v>0.3</v>
      </c>
      <c r="M313" s="10" t="inlineStr">
        <is>
          <t>متوسط</t>
        </is>
      </c>
      <c r="N313" s="11" t="inlineStr">
        <is>
          <t>طوال السنة</t>
        </is>
      </c>
      <c r="O313" s="11" t="inlineStr">
        <is>
          <t>SABER + بطارية ليثيوم</t>
        </is>
      </c>
      <c r="P313" s="15" t="n">
        <v>0.14</v>
      </c>
      <c r="Q313" s="14" t="n">
        <v>9.5</v>
      </c>
      <c r="R313" s="14" t="n">
        <v>50</v>
      </c>
      <c r="S313" s="16">
        <f>J313*'الافتراضات'!$B$2*(1+'الافتراضات'!$B$3)</f>
        <v/>
      </c>
      <c r="T313" s="16">
        <f>L313*'الافتراضات'!$B$4</f>
        <v/>
      </c>
      <c r="U313" s="16">
        <f>(S313+T313)*'الافتراضات'!$B$5</f>
        <v/>
      </c>
      <c r="V313" s="16">
        <f>S313+T313+U313</f>
        <v/>
      </c>
      <c r="W313" s="16">
        <f>MAX(1,E313*P313)</f>
        <v/>
      </c>
      <c r="X313" s="16">
        <f>E313*'الافتراضات'!$B$7</f>
        <v/>
      </c>
      <c r="Y313" s="16">
        <f>E313*'الافتراضات'!$B$8</f>
        <v/>
      </c>
      <c r="Z313" s="16">
        <f>E313/(1+'الافتراضات'!$B$6)</f>
        <v/>
      </c>
      <c r="AA313" s="16">
        <f>Z313-V313-W313-Q313-X313-Y313</f>
        <v/>
      </c>
      <c r="AB313" s="17">
        <f>IF(Z313=0,0,AA313/Z313)</f>
        <v/>
      </c>
      <c r="AC313" s="17">
        <f>IF(V313=0,0,AA313/V313)</f>
        <v/>
      </c>
      <c r="AD313" s="18">
        <f>R313*V313</f>
        <v/>
      </c>
      <c r="AE313" s="16">
        <f>IF(AB313&gt;='الافتراضات'!$B$9,IF(O313="لا","ابدأ به","جيد – يحتاج شهادة"),IF(AB313&gt;='الافتراضات'!$B$10,"مقبول","ضعيف"))</f>
        <v/>
      </c>
      <c r="AF313" s="16">
        <f>IF((1-'الافتراضات'!$B$9)/(1+'الافتراضات'!$B$6)-P313-'الافتراضات'!$B$7-'الافتراضات'!$B$8&lt;=0,0,(V313+Q313)/((1-'الافتراضات'!$B$9)/(1+'الافتراضات'!$B$6)-P313-'الافتراضات'!$B$7-'الافتراضات'!$B$8))</f>
        <v/>
      </c>
    </row>
    <row r="314">
      <c r="A314" s="10" t="n">
        <v>313</v>
      </c>
      <c r="B314" s="11" t="inlineStr">
        <is>
          <t>الرياضة واللياقة</t>
        </is>
      </c>
      <c r="C314" s="11" t="inlineStr">
        <is>
          <t>شيكر بروتين مع فلتر</t>
        </is>
      </c>
      <c r="D314" s="11" t="inlineStr">
        <is>
          <t>protein shaker bottle</t>
        </is>
      </c>
      <c r="E314" s="12" t="n">
        <v>25</v>
      </c>
      <c r="F314" s="10" t="inlineStr">
        <is>
          <t>تقدير</t>
        </is>
      </c>
      <c r="G314" s="10" t="inlineStr">
        <is>
          <t>تقدير</t>
        </is>
      </c>
      <c r="H314" s="10" t="inlineStr">
        <is>
          <t>لم تُفحص</t>
        </is>
      </c>
      <c r="I314" s="10" t="inlineStr">
        <is>
          <t>لم يُفحص</t>
        </is>
      </c>
      <c r="J314" s="13" t="n">
        <v>1.4</v>
      </c>
      <c r="K314" s="11" t="inlineStr">
        <is>
          <t>تقدير</t>
        </is>
      </c>
      <c r="L314" s="14" t="n">
        <v>0.2</v>
      </c>
      <c r="M314" s="10" t="inlineStr">
        <is>
          <t>صغير</t>
        </is>
      </c>
      <c r="N314" s="11" t="inlineStr">
        <is>
          <t>طوال السنة</t>
        </is>
      </c>
      <c r="O314" s="11" t="inlineStr">
        <is>
          <t>ملامس للغذاء (SFDA)</t>
        </is>
      </c>
      <c r="P314" s="15" t="n">
        <v>0.2</v>
      </c>
      <c r="Q314" s="14" t="n">
        <v>7</v>
      </c>
      <c r="R314" s="14" t="n">
        <v>50</v>
      </c>
      <c r="S314" s="16">
        <f>J314*'الافتراضات'!$B$2*(1+'الافتراضات'!$B$3)</f>
        <v/>
      </c>
      <c r="T314" s="16">
        <f>L314*'الافتراضات'!$B$4</f>
        <v/>
      </c>
      <c r="U314" s="16">
        <f>(S314+T314)*'الافتراضات'!$B$5</f>
        <v/>
      </c>
      <c r="V314" s="16">
        <f>S314+T314+U314</f>
        <v/>
      </c>
      <c r="W314" s="16">
        <f>MAX(1,E314*P314)</f>
        <v/>
      </c>
      <c r="X314" s="16">
        <f>E314*'الافتراضات'!$B$7</f>
        <v/>
      </c>
      <c r="Y314" s="16">
        <f>E314*'الافتراضات'!$B$8</f>
        <v/>
      </c>
      <c r="Z314" s="16">
        <f>E314/(1+'الافتراضات'!$B$6)</f>
        <v/>
      </c>
      <c r="AA314" s="16">
        <f>Z314-V314-W314-Q314-X314-Y314</f>
        <v/>
      </c>
      <c r="AB314" s="17">
        <f>IF(Z314=0,0,AA314/Z314)</f>
        <v/>
      </c>
      <c r="AC314" s="17">
        <f>IF(V314=0,0,AA314/V314)</f>
        <v/>
      </c>
      <c r="AD314" s="18">
        <f>R314*V314</f>
        <v/>
      </c>
      <c r="AE314" s="16">
        <f>IF(AB314&gt;='الافتراضات'!$B$9,IF(O314="لا","ابدأ به","جيد – يحتاج شهادة"),IF(AB314&gt;='الافتراضات'!$B$10,"مقبول","ضعيف"))</f>
        <v/>
      </c>
      <c r="AF314" s="16">
        <f>IF((1-'الافتراضات'!$B$9)/(1+'الافتراضات'!$B$6)-P314-'الافتراضات'!$B$7-'الافتراضات'!$B$8&lt;=0,0,(V314+Q314)/((1-'الافتراضات'!$B$9)/(1+'الافتراضات'!$B$6)-P314-'الافتراضات'!$B$7-'الافتراضات'!$B$8))</f>
        <v/>
      </c>
    </row>
    <row r="315">
      <c r="A315" s="10" t="n">
        <v>314</v>
      </c>
      <c r="B315" s="11" t="inlineStr">
        <is>
          <t>الرياضة واللياقة</t>
        </is>
      </c>
      <c r="C315" s="11" t="inlineStr">
        <is>
          <t>وسادة يوغا</t>
        </is>
      </c>
      <c r="D315" s="11" t="inlineStr">
        <is>
          <t>yoga block foam</t>
        </is>
      </c>
      <c r="E315" s="12" t="n">
        <v>25</v>
      </c>
      <c r="F315" s="10" t="inlineStr">
        <is>
          <t>تقدير</t>
        </is>
      </c>
      <c r="G315" s="10" t="inlineStr">
        <is>
          <t>تقدير</t>
        </is>
      </c>
      <c r="H315" s="10" t="inlineStr">
        <is>
          <t>لم تُفحص</t>
        </is>
      </c>
      <c r="I315" s="10" t="inlineStr">
        <is>
          <t>لم يُفحص</t>
        </is>
      </c>
      <c r="J315" s="13" t="n">
        <v>1.4</v>
      </c>
      <c r="K315" s="11" t="inlineStr">
        <is>
          <t>تقدير</t>
        </is>
      </c>
      <c r="L315" s="14" t="n">
        <v>0.2</v>
      </c>
      <c r="M315" s="10" t="inlineStr">
        <is>
          <t>صغير</t>
        </is>
      </c>
      <c r="N315" s="11" t="inlineStr">
        <is>
          <t>طوال السنة</t>
        </is>
      </c>
      <c r="O315" s="11" t="inlineStr">
        <is>
          <t>لا</t>
        </is>
      </c>
      <c r="P315" s="15" t="n">
        <v>0.2</v>
      </c>
      <c r="Q315" s="14" t="n">
        <v>7</v>
      </c>
      <c r="R315" s="14" t="n">
        <v>50</v>
      </c>
      <c r="S315" s="16">
        <f>J315*'الافتراضات'!$B$2*(1+'الافتراضات'!$B$3)</f>
        <v/>
      </c>
      <c r="T315" s="16">
        <f>L315*'الافتراضات'!$B$4</f>
        <v/>
      </c>
      <c r="U315" s="16">
        <f>(S315+T315)*'الافتراضات'!$B$5</f>
        <v/>
      </c>
      <c r="V315" s="16">
        <f>S315+T315+U315</f>
        <v/>
      </c>
      <c r="W315" s="16">
        <f>MAX(1,E315*P315)</f>
        <v/>
      </c>
      <c r="X315" s="16">
        <f>E315*'الافتراضات'!$B$7</f>
        <v/>
      </c>
      <c r="Y315" s="16">
        <f>E315*'الافتراضات'!$B$8</f>
        <v/>
      </c>
      <c r="Z315" s="16">
        <f>E315/(1+'الافتراضات'!$B$6)</f>
        <v/>
      </c>
      <c r="AA315" s="16">
        <f>Z315-V315-W315-Q315-X315-Y315</f>
        <v/>
      </c>
      <c r="AB315" s="17">
        <f>IF(Z315=0,0,AA315/Z315)</f>
        <v/>
      </c>
      <c r="AC315" s="17">
        <f>IF(V315=0,0,AA315/V315)</f>
        <v/>
      </c>
      <c r="AD315" s="18">
        <f>R315*V315</f>
        <v/>
      </c>
      <c r="AE315" s="16">
        <f>IF(AB315&gt;='الافتراضات'!$B$9,IF(O315="لا","ابدأ به","جيد – يحتاج شهادة"),IF(AB315&gt;='الافتراضات'!$B$10,"مقبول","ضعيف"))</f>
        <v/>
      </c>
      <c r="AF315" s="16">
        <f>IF((1-'الافتراضات'!$B$9)/(1+'الافتراضات'!$B$6)-P315-'الافتراضات'!$B$7-'الافتراضات'!$B$8&lt;=0,0,(V315+Q315)/((1-'الافتراضات'!$B$9)/(1+'الافتراضات'!$B$6)-P315-'الافتراضات'!$B$7-'الافتراضات'!$B$8))</f>
        <v/>
      </c>
    </row>
    <row r="316">
      <c r="A316" s="10" t="n">
        <v>315</v>
      </c>
      <c r="B316" s="11" t="inlineStr">
        <is>
          <t>الإضاءة والديكور</t>
        </is>
      </c>
      <c r="C316" s="11" t="inlineStr">
        <is>
          <t>ساعة حائط كبيرة ذهبية</t>
        </is>
      </c>
      <c r="D316" s="11" t="inlineStr">
        <is>
          <t>large wall clock gold</t>
        </is>
      </c>
      <c r="E316" s="12" t="n">
        <v>102</v>
      </c>
      <c r="F316" s="10" t="inlineStr">
        <is>
          <t>تقدير</t>
        </is>
      </c>
      <c r="G316" s="10" t="inlineStr">
        <is>
          <t>تقدير</t>
        </is>
      </c>
      <c r="H316" s="10" t="inlineStr">
        <is>
          <t>لم تُفحص</t>
        </is>
      </c>
      <c r="I316" s="10" t="inlineStr">
        <is>
          <t>لم يُفحص</t>
        </is>
      </c>
      <c r="J316" s="13" t="n">
        <v>9</v>
      </c>
      <c r="K316" s="11" t="inlineStr">
        <is>
          <t>تقدير</t>
        </is>
      </c>
      <c r="L316" s="14" t="n">
        <v>1.5</v>
      </c>
      <c r="M316" s="10" t="inlineStr">
        <is>
          <t>كبير</t>
        </is>
      </c>
      <c r="N316" s="11" t="inlineStr">
        <is>
          <t>طوال السنة</t>
        </is>
      </c>
      <c r="O316" s="11" t="inlineStr">
        <is>
          <t>لا</t>
        </is>
      </c>
      <c r="P316" s="15" t="n">
        <v>0.14</v>
      </c>
      <c r="Q316" s="14" t="n">
        <v>15</v>
      </c>
      <c r="R316" s="14" t="n">
        <v>50</v>
      </c>
      <c r="S316" s="16">
        <f>J316*'الافتراضات'!$B$2*(1+'الافتراضات'!$B$3)</f>
        <v/>
      </c>
      <c r="T316" s="16">
        <f>L316*'الافتراضات'!$B$4</f>
        <v/>
      </c>
      <c r="U316" s="16">
        <f>(S316+T316)*'الافتراضات'!$B$5</f>
        <v/>
      </c>
      <c r="V316" s="16">
        <f>S316+T316+U316</f>
        <v/>
      </c>
      <c r="W316" s="16">
        <f>MAX(1,E316*P316)</f>
        <v/>
      </c>
      <c r="X316" s="16">
        <f>E316*'الافتراضات'!$B$7</f>
        <v/>
      </c>
      <c r="Y316" s="16">
        <f>E316*'الافتراضات'!$B$8</f>
        <v/>
      </c>
      <c r="Z316" s="16">
        <f>E316/(1+'الافتراضات'!$B$6)</f>
        <v/>
      </c>
      <c r="AA316" s="16">
        <f>Z316-V316-W316-Q316-X316-Y316</f>
        <v/>
      </c>
      <c r="AB316" s="17">
        <f>IF(Z316=0,0,AA316/Z316)</f>
        <v/>
      </c>
      <c r="AC316" s="17">
        <f>IF(V316=0,0,AA316/V316)</f>
        <v/>
      </c>
      <c r="AD316" s="18">
        <f>R316*V316</f>
        <v/>
      </c>
      <c r="AE316" s="16">
        <f>IF(AB316&gt;='الافتراضات'!$B$9,IF(O316="لا","ابدأ به","جيد – يحتاج شهادة"),IF(AB316&gt;='الافتراضات'!$B$10,"مقبول","ضعيف"))</f>
        <v/>
      </c>
      <c r="AF316" s="16">
        <f>IF((1-'الافتراضات'!$B$9)/(1+'الافتراضات'!$B$6)-P316-'الافتراضات'!$B$7-'الافتراضات'!$B$8&lt;=0,0,(V316+Q316)/((1-'الافتراضات'!$B$9)/(1+'الافتراضات'!$B$6)-P316-'الافتراضات'!$B$7-'الافتراضات'!$B$8))</f>
        <v/>
      </c>
    </row>
    <row r="317">
      <c r="A317" s="10" t="n">
        <v>316</v>
      </c>
      <c r="B317" s="11" t="inlineStr">
        <is>
          <t>المنزل والمطبخ</t>
        </is>
      </c>
      <c r="C317" s="11" t="inlineStr">
        <is>
          <t>خافق حليب كهربائي</t>
        </is>
      </c>
      <c r="D317" s="11" t="inlineStr">
        <is>
          <t>electric milk frother</t>
        </is>
      </c>
      <c r="E317" s="12" t="n">
        <v>25</v>
      </c>
      <c r="F317" s="10" t="inlineStr">
        <is>
          <t>تقدير</t>
        </is>
      </c>
      <c r="G317" s="10" t="inlineStr">
        <is>
          <t>تقدير</t>
        </is>
      </c>
      <c r="H317" s="10" t="inlineStr">
        <is>
          <t>لم تُفحص</t>
        </is>
      </c>
      <c r="I317" s="10" t="inlineStr">
        <is>
          <t>لم يُفحص</t>
        </is>
      </c>
      <c r="J317" s="13" t="n">
        <v>1.8</v>
      </c>
      <c r="K317" s="11" t="inlineStr">
        <is>
          <t>تقدير</t>
        </is>
      </c>
      <c r="L317" s="14" t="n">
        <v>0.15</v>
      </c>
      <c r="M317" s="10" t="inlineStr">
        <is>
          <t>صغير</t>
        </is>
      </c>
      <c r="N317" s="11" t="inlineStr">
        <is>
          <t>طوال السنة</t>
        </is>
      </c>
      <c r="O317" s="11" t="inlineStr">
        <is>
          <t>SABER + بطارية ليثيوم</t>
        </is>
      </c>
      <c r="P317" s="15" t="n">
        <v>0.15</v>
      </c>
      <c r="Q317" s="14" t="n">
        <v>7</v>
      </c>
      <c r="R317" s="14" t="n">
        <v>50</v>
      </c>
      <c r="S317" s="16">
        <f>J317*'الافتراضات'!$B$2*(1+'الافتراضات'!$B$3)</f>
        <v/>
      </c>
      <c r="T317" s="16">
        <f>L317*'الافتراضات'!$B$4</f>
        <v/>
      </c>
      <c r="U317" s="16">
        <f>(S317+T317)*'الافتراضات'!$B$5</f>
        <v/>
      </c>
      <c r="V317" s="16">
        <f>S317+T317+U317</f>
        <v/>
      </c>
      <c r="W317" s="16">
        <f>MAX(1,E317*P317)</f>
        <v/>
      </c>
      <c r="X317" s="16">
        <f>E317*'الافتراضات'!$B$7</f>
        <v/>
      </c>
      <c r="Y317" s="16">
        <f>E317*'الافتراضات'!$B$8</f>
        <v/>
      </c>
      <c r="Z317" s="16">
        <f>E317/(1+'الافتراضات'!$B$6)</f>
        <v/>
      </c>
      <c r="AA317" s="16">
        <f>Z317-V317-W317-Q317-X317-Y317</f>
        <v/>
      </c>
      <c r="AB317" s="17">
        <f>IF(Z317=0,0,AA317/Z317)</f>
        <v/>
      </c>
      <c r="AC317" s="17">
        <f>IF(V317=0,0,AA317/V317)</f>
        <v/>
      </c>
      <c r="AD317" s="18">
        <f>R317*V317</f>
        <v/>
      </c>
      <c r="AE317" s="16">
        <f>IF(AB317&gt;='الافتراضات'!$B$9,IF(O317="لا","ابدأ به","جيد – يحتاج شهادة"),IF(AB317&gt;='الافتراضات'!$B$10,"مقبول","ضعيف"))</f>
        <v/>
      </c>
      <c r="AF317" s="16">
        <f>IF((1-'الافتراضات'!$B$9)/(1+'الافتراضات'!$B$6)-P317-'الافتراضات'!$B$7-'الافتراضات'!$B$8&lt;=0,0,(V317+Q317)/((1-'الافتراضات'!$B$9)/(1+'الافتراضات'!$B$6)-P317-'الافتراضات'!$B$7-'الافتراضات'!$B$8))</f>
        <v/>
      </c>
    </row>
    <row r="318">
      <c r="A318" s="10" t="n">
        <v>317</v>
      </c>
      <c r="B318" s="11" t="inlineStr">
        <is>
          <t>الحيوانات الأليفة</t>
        </is>
      </c>
      <c r="C318" s="11" t="inlineStr">
        <is>
          <t>فرشاة إزالة شعر الحيوانات</t>
        </is>
      </c>
      <c r="D318" s="11" t="inlineStr">
        <is>
          <t>pet hair remover brush</t>
        </is>
      </c>
      <c r="E318" s="12" t="n">
        <v>25</v>
      </c>
      <c r="F318" s="10" t="inlineStr">
        <is>
          <t>تقدير</t>
        </is>
      </c>
      <c r="G318" s="10" t="inlineStr">
        <is>
          <t>تقدير</t>
        </is>
      </c>
      <c r="H318" s="10" t="inlineStr">
        <is>
          <t>لم تُفحص</t>
        </is>
      </c>
      <c r="I318" s="10" t="inlineStr">
        <is>
          <t>لم يُفحص</t>
        </is>
      </c>
      <c r="J318" s="13" t="n">
        <v>1.8</v>
      </c>
      <c r="K318" s="11" t="inlineStr">
        <is>
          <t>تقدير</t>
        </is>
      </c>
      <c r="L318" s="14" t="n">
        <v>0.15</v>
      </c>
      <c r="M318" s="10" t="inlineStr">
        <is>
          <t>صغير</t>
        </is>
      </c>
      <c r="N318" s="11" t="inlineStr">
        <is>
          <t>طوال السنة</t>
        </is>
      </c>
      <c r="O318" s="11" t="inlineStr">
        <is>
          <t>لا</t>
        </is>
      </c>
      <c r="P318" s="15" t="n">
        <v>0.15</v>
      </c>
      <c r="Q318" s="14" t="n">
        <v>7</v>
      </c>
      <c r="R318" s="14" t="n">
        <v>50</v>
      </c>
      <c r="S318" s="16">
        <f>J318*'الافتراضات'!$B$2*(1+'الافتراضات'!$B$3)</f>
        <v/>
      </c>
      <c r="T318" s="16">
        <f>L318*'الافتراضات'!$B$4</f>
        <v/>
      </c>
      <c r="U318" s="16">
        <f>(S318+T318)*'الافتراضات'!$B$5</f>
        <v/>
      </c>
      <c r="V318" s="16">
        <f>S318+T318+U318</f>
        <v/>
      </c>
      <c r="W318" s="16">
        <f>MAX(1,E318*P318)</f>
        <v/>
      </c>
      <c r="X318" s="16">
        <f>E318*'الافتراضات'!$B$7</f>
        <v/>
      </c>
      <c r="Y318" s="16">
        <f>E318*'الافتراضات'!$B$8</f>
        <v/>
      </c>
      <c r="Z318" s="16">
        <f>E318/(1+'الافتراضات'!$B$6)</f>
        <v/>
      </c>
      <c r="AA318" s="16">
        <f>Z318-V318-W318-Q318-X318-Y318</f>
        <v/>
      </c>
      <c r="AB318" s="17">
        <f>IF(Z318=0,0,AA318/Z318)</f>
        <v/>
      </c>
      <c r="AC318" s="17">
        <f>IF(V318=0,0,AA318/V318)</f>
        <v/>
      </c>
      <c r="AD318" s="18">
        <f>R318*V318</f>
        <v/>
      </c>
      <c r="AE318" s="16">
        <f>IF(AB318&gt;='الافتراضات'!$B$9,IF(O318="لا","ابدأ به","جيد – يحتاج شهادة"),IF(AB318&gt;='الافتراضات'!$B$10,"مقبول","ضعيف"))</f>
        <v/>
      </c>
      <c r="AF318" s="16">
        <f>IF((1-'الافتراضات'!$B$9)/(1+'الافتراضات'!$B$6)-P318-'الافتراضات'!$B$7-'الافتراضات'!$B$8&lt;=0,0,(V318+Q318)/((1-'الافتراضات'!$B$9)/(1+'الافتراضات'!$B$6)-P318-'الافتراضات'!$B$7-'الافتراضات'!$B$8))</f>
        <v/>
      </c>
    </row>
    <row r="319">
      <c r="A319" s="10" t="n">
        <v>318</v>
      </c>
      <c r="B319" s="11" t="inlineStr">
        <is>
          <t>المنزل والمطبخ</t>
        </is>
      </c>
      <c r="C319" s="11" t="inlineStr">
        <is>
          <t>سخان مياه صغير للشرب</t>
        </is>
      </c>
      <c r="D319" s="11" t="inlineStr">
        <is>
          <t>electric water kettle portable travel</t>
        </is>
      </c>
      <c r="E319" s="12" t="n">
        <v>57</v>
      </c>
      <c r="F319" s="10" t="inlineStr">
        <is>
          <t>تقدير</t>
        </is>
      </c>
      <c r="G319" s="10" t="inlineStr">
        <is>
          <t>تقدير</t>
        </is>
      </c>
      <c r="H319" s="10" t="inlineStr">
        <is>
          <t>لم تُفحص</t>
        </is>
      </c>
      <c r="I319" s="10" t="inlineStr">
        <is>
          <t>لم يُفحص</t>
        </is>
      </c>
      <c r="J319" s="13" t="n">
        <v>5</v>
      </c>
      <c r="K319" s="11" t="inlineStr">
        <is>
          <t>تقدير</t>
        </is>
      </c>
      <c r="L319" s="14" t="n">
        <v>0.6</v>
      </c>
      <c r="M319" s="10" t="inlineStr">
        <is>
          <t>متوسط</t>
        </is>
      </c>
      <c r="N319" s="11" t="inlineStr">
        <is>
          <t>طوال السنة</t>
        </is>
      </c>
      <c r="O319" s="11" t="inlineStr">
        <is>
          <t>SABER</t>
        </is>
      </c>
      <c r="P319" s="15" t="n">
        <v>0.15</v>
      </c>
      <c r="Q319" s="14" t="n">
        <v>10</v>
      </c>
      <c r="R319" s="14" t="n">
        <v>50</v>
      </c>
      <c r="S319" s="16">
        <f>J319*'الافتراضات'!$B$2*(1+'الافتراضات'!$B$3)</f>
        <v/>
      </c>
      <c r="T319" s="16">
        <f>L319*'الافتراضات'!$B$4</f>
        <v/>
      </c>
      <c r="U319" s="16">
        <f>(S319+T319)*'الافتراضات'!$B$5</f>
        <v/>
      </c>
      <c r="V319" s="16">
        <f>S319+T319+U319</f>
        <v/>
      </c>
      <c r="W319" s="16">
        <f>MAX(1,E319*P319)</f>
        <v/>
      </c>
      <c r="X319" s="16">
        <f>E319*'الافتراضات'!$B$7</f>
        <v/>
      </c>
      <c r="Y319" s="16">
        <f>E319*'الافتراضات'!$B$8</f>
        <v/>
      </c>
      <c r="Z319" s="16">
        <f>E319/(1+'الافتراضات'!$B$6)</f>
        <v/>
      </c>
      <c r="AA319" s="16">
        <f>Z319-V319-W319-Q319-X319-Y319</f>
        <v/>
      </c>
      <c r="AB319" s="17">
        <f>IF(Z319=0,0,AA319/Z319)</f>
        <v/>
      </c>
      <c r="AC319" s="17">
        <f>IF(V319=0,0,AA319/V319)</f>
        <v/>
      </c>
      <c r="AD319" s="18">
        <f>R319*V319</f>
        <v/>
      </c>
      <c r="AE319" s="16">
        <f>IF(AB319&gt;='الافتراضات'!$B$9,IF(O319="لا","ابدأ به","جيد – يحتاج شهادة"),IF(AB319&gt;='الافتراضات'!$B$10,"مقبول","ضعيف"))</f>
        <v/>
      </c>
      <c r="AF319" s="16">
        <f>IF((1-'الافتراضات'!$B$9)/(1+'الافتراضات'!$B$6)-P319-'الافتراضات'!$B$7-'الافتراضات'!$B$8&lt;=0,0,(V319+Q319)/((1-'الافتراضات'!$B$9)/(1+'الافتراضات'!$B$6)-P319-'الافتراضات'!$B$7-'الافتراضات'!$B$8))</f>
        <v/>
      </c>
    </row>
    <row r="320">
      <c r="A320" s="10" t="n">
        <v>319</v>
      </c>
      <c r="B320" s="11" t="inlineStr">
        <is>
          <t>المنزل والمطبخ</t>
        </is>
      </c>
      <c r="C320" s="11" t="inlineStr">
        <is>
          <t>مرايا جدارية بإطار</t>
        </is>
      </c>
      <c r="D320" s="11" t="inlineStr">
        <is>
          <t>wall mirror frame</t>
        </is>
      </c>
      <c r="E320" s="12" t="n">
        <v>136</v>
      </c>
      <c r="F320" s="10" t="inlineStr">
        <is>
          <t>تقدير</t>
        </is>
      </c>
      <c r="G320" s="10" t="inlineStr">
        <is>
          <t>تقدير</t>
        </is>
      </c>
      <c r="H320" s="10" t="inlineStr">
        <is>
          <t>لم تُفحص</t>
        </is>
      </c>
      <c r="I320" s="10" t="inlineStr">
        <is>
          <t>لم يُفحص</t>
        </is>
      </c>
      <c r="J320" s="13" t="n">
        <v>12</v>
      </c>
      <c r="K320" s="11" t="inlineStr">
        <is>
          <t>تقدير</t>
        </is>
      </c>
      <c r="L320" s="14" t="n">
        <v>2.5</v>
      </c>
      <c r="M320" s="10" t="inlineStr">
        <is>
          <t>كبير</t>
        </is>
      </c>
      <c r="N320" s="11" t="inlineStr">
        <is>
          <t>طوال السنة</t>
        </is>
      </c>
      <c r="O320" s="11" t="inlineStr">
        <is>
          <t>لا</t>
        </is>
      </c>
      <c r="P320" s="15" t="n">
        <v>0.14</v>
      </c>
      <c r="Q320" s="14" t="n">
        <v>16</v>
      </c>
      <c r="R320" s="14" t="n">
        <v>50</v>
      </c>
      <c r="S320" s="16">
        <f>J320*'الافتراضات'!$B$2*(1+'الافتراضات'!$B$3)</f>
        <v/>
      </c>
      <c r="T320" s="16">
        <f>L320*'الافتراضات'!$B$4</f>
        <v/>
      </c>
      <c r="U320" s="16">
        <f>(S320+T320)*'الافتراضات'!$B$5</f>
        <v/>
      </c>
      <c r="V320" s="16">
        <f>S320+T320+U320</f>
        <v/>
      </c>
      <c r="W320" s="16">
        <f>MAX(1,E320*P320)</f>
        <v/>
      </c>
      <c r="X320" s="16">
        <f>E320*'الافتراضات'!$B$7</f>
        <v/>
      </c>
      <c r="Y320" s="16">
        <f>E320*'الافتراضات'!$B$8</f>
        <v/>
      </c>
      <c r="Z320" s="16">
        <f>E320/(1+'الافتراضات'!$B$6)</f>
        <v/>
      </c>
      <c r="AA320" s="16">
        <f>Z320-V320-W320-Q320-X320-Y320</f>
        <v/>
      </c>
      <c r="AB320" s="17">
        <f>IF(Z320=0,0,AA320/Z320)</f>
        <v/>
      </c>
      <c r="AC320" s="17">
        <f>IF(V320=0,0,AA320/V320)</f>
        <v/>
      </c>
      <c r="AD320" s="18">
        <f>R320*V320</f>
        <v/>
      </c>
      <c r="AE320" s="16">
        <f>IF(AB320&gt;='الافتراضات'!$B$9,IF(O320="لا","ابدأ به","جيد – يحتاج شهادة"),IF(AB320&gt;='الافتراضات'!$B$10,"مقبول","ضعيف"))</f>
        <v/>
      </c>
      <c r="AF320" s="16">
        <f>IF((1-'الافتراضات'!$B$9)/(1+'الافتراضات'!$B$6)-P320-'الافتراضات'!$B$7-'الافتراضات'!$B$8&lt;=0,0,(V320+Q320)/((1-'الافتراضات'!$B$9)/(1+'الافتراضات'!$B$6)-P320-'الافتراضات'!$B$7-'الافتراضات'!$B$8))</f>
        <v/>
      </c>
    </row>
    <row r="321">
      <c r="A321" s="10" t="n">
        <v>320</v>
      </c>
      <c r="B321" s="11" t="inlineStr">
        <is>
          <t>المنزل والمطبخ</t>
        </is>
      </c>
      <c r="C321" s="11" t="inlineStr">
        <is>
          <t>ماكينة صنع الآيس كريم المنزلية</t>
        </is>
      </c>
      <c r="D321" s="11" t="inlineStr">
        <is>
          <t>ice cream maker home</t>
        </is>
      </c>
      <c r="E321" s="12" t="n">
        <v>158</v>
      </c>
      <c r="F321" s="10" t="inlineStr">
        <is>
          <t>تقدير</t>
        </is>
      </c>
      <c r="G321" s="10" t="inlineStr">
        <is>
          <t>تقدير</t>
        </is>
      </c>
      <c r="H321" s="10" t="inlineStr">
        <is>
          <t>لم تُفحص</t>
        </is>
      </c>
      <c r="I321" s="10" t="inlineStr">
        <is>
          <t>لم يُفحص</t>
        </is>
      </c>
      <c r="J321" s="13" t="n">
        <v>14</v>
      </c>
      <c r="K321" s="11" t="inlineStr">
        <is>
          <t>تقدير</t>
        </is>
      </c>
      <c r="L321" s="14" t="n">
        <v>3</v>
      </c>
      <c r="M321" s="10" t="inlineStr">
        <is>
          <t>كبير</t>
        </is>
      </c>
      <c r="N321" s="11" t="inlineStr">
        <is>
          <t>طوال السنة</t>
        </is>
      </c>
      <c r="O321" s="11" t="inlineStr">
        <is>
          <t>SABER</t>
        </is>
      </c>
      <c r="P321" s="15" t="n">
        <v>0.15</v>
      </c>
      <c r="Q321" s="14" t="n">
        <v>16</v>
      </c>
      <c r="R321" s="14" t="n">
        <v>50</v>
      </c>
      <c r="S321" s="16">
        <f>J321*'الافتراضات'!$B$2*(1+'الافتراضات'!$B$3)</f>
        <v/>
      </c>
      <c r="T321" s="16">
        <f>L321*'الافتراضات'!$B$4</f>
        <v/>
      </c>
      <c r="U321" s="16">
        <f>(S321+T321)*'الافتراضات'!$B$5</f>
        <v/>
      </c>
      <c r="V321" s="16">
        <f>S321+T321+U321</f>
        <v/>
      </c>
      <c r="W321" s="16">
        <f>MAX(1,E321*P321)</f>
        <v/>
      </c>
      <c r="X321" s="16">
        <f>E321*'الافتراضات'!$B$7</f>
        <v/>
      </c>
      <c r="Y321" s="16">
        <f>E321*'الافتراضات'!$B$8</f>
        <v/>
      </c>
      <c r="Z321" s="16">
        <f>E321/(1+'الافتراضات'!$B$6)</f>
        <v/>
      </c>
      <c r="AA321" s="16">
        <f>Z321-V321-W321-Q321-X321-Y321</f>
        <v/>
      </c>
      <c r="AB321" s="17">
        <f>IF(Z321=0,0,AA321/Z321)</f>
        <v/>
      </c>
      <c r="AC321" s="17">
        <f>IF(V321=0,0,AA321/V321)</f>
        <v/>
      </c>
      <c r="AD321" s="18">
        <f>R321*V321</f>
        <v/>
      </c>
      <c r="AE321" s="16">
        <f>IF(AB321&gt;='الافتراضات'!$B$9,IF(O321="لا","ابدأ به","جيد – يحتاج شهادة"),IF(AB321&gt;='الافتراضات'!$B$10,"مقبول","ضعيف"))</f>
        <v/>
      </c>
      <c r="AF321" s="16">
        <f>IF((1-'الافتراضات'!$B$9)/(1+'الافتراضات'!$B$6)-P321-'الافتراضات'!$B$7-'الافتراضات'!$B$8&lt;=0,0,(V321+Q321)/((1-'الافتراضات'!$B$9)/(1+'الافتراضات'!$B$6)-P321-'الافتراضات'!$B$7-'الافتراضات'!$B$8))</f>
        <v/>
      </c>
    </row>
    <row r="322">
      <c r="A322" s="10" t="n">
        <v>321</v>
      </c>
      <c r="B322" s="11" t="inlineStr">
        <is>
          <t>الحيوانات الأليفة</t>
        </is>
      </c>
      <c r="C322" s="11" t="inlineStr">
        <is>
          <t>قفص عصافير</t>
        </is>
      </c>
      <c r="D322" s="11" t="inlineStr">
        <is>
          <t>bird cage</t>
        </is>
      </c>
      <c r="E322" s="12" t="n">
        <v>158</v>
      </c>
      <c r="F322" s="10" t="inlineStr">
        <is>
          <t>تقدير</t>
        </is>
      </c>
      <c r="G322" s="10" t="inlineStr">
        <is>
          <t>تقدير</t>
        </is>
      </c>
      <c r="H322" s="10" t="inlineStr">
        <is>
          <t>لم تُفحص</t>
        </is>
      </c>
      <c r="I322" s="10" t="inlineStr">
        <is>
          <t>لم يُفحص</t>
        </is>
      </c>
      <c r="J322" s="13" t="n">
        <v>14</v>
      </c>
      <c r="K322" s="11" t="inlineStr">
        <is>
          <t>تقدير</t>
        </is>
      </c>
      <c r="L322" s="14" t="n">
        <v>3</v>
      </c>
      <c r="M322" s="10" t="inlineStr">
        <is>
          <t>كبير</t>
        </is>
      </c>
      <c r="N322" s="11" t="inlineStr">
        <is>
          <t>طوال السنة</t>
        </is>
      </c>
      <c r="O322" s="11" t="inlineStr">
        <is>
          <t>لا</t>
        </is>
      </c>
      <c r="P322" s="15" t="n">
        <v>0.15</v>
      </c>
      <c r="Q322" s="14" t="n">
        <v>16</v>
      </c>
      <c r="R322" s="14" t="n">
        <v>50</v>
      </c>
      <c r="S322" s="16">
        <f>J322*'الافتراضات'!$B$2*(1+'الافتراضات'!$B$3)</f>
        <v/>
      </c>
      <c r="T322" s="16">
        <f>L322*'الافتراضات'!$B$4</f>
        <v/>
      </c>
      <c r="U322" s="16">
        <f>(S322+T322)*'الافتراضات'!$B$5</f>
        <v/>
      </c>
      <c r="V322" s="16">
        <f>S322+T322+U322</f>
        <v/>
      </c>
      <c r="W322" s="16">
        <f>MAX(1,E322*P322)</f>
        <v/>
      </c>
      <c r="X322" s="16">
        <f>E322*'الافتراضات'!$B$7</f>
        <v/>
      </c>
      <c r="Y322" s="16">
        <f>E322*'الافتراضات'!$B$8</f>
        <v/>
      </c>
      <c r="Z322" s="16">
        <f>E322/(1+'الافتراضات'!$B$6)</f>
        <v/>
      </c>
      <c r="AA322" s="16">
        <f>Z322-V322-W322-Q322-X322-Y322</f>
        <v/>
      </c>
      <c r="AB322" s="17">
        <f>IF(Z322=0,0,AA322/Z322)</f>
        <v/>
      </c>
      <c r="AC322" s="17">
        <f>IF(V322=0,0,AA322/V322)</f>
        <v/>
      </c>
      <c r="AD322" s="18">
        <f>R322*V322</f>
        <v/>
      </c>
      <c r="AE322" s="16">
        <f>IF(AB322&gt;='الافتراضات'!$B$9,IF(O322="لا","ابدأ به","جيد – يحتاج شهادة"),IF(AB322&gt;='الافتراضات'!$B$10,"مقبول","ضعيف"))</f>
        <v/>
      </c>
      <c r="AF322" s="16">
        <f>IF((1-'الافتراضات'!$B$9)/(1+'الافتراضات'!$B$6)-P322-'الافتراضات'!$B$7-'الافتراضات'!$B$8&lt;=0,0,(V322+Q322)/((1-'الافتراضات'!$B$9)/(1+'الافتراضات'!$B$6)-P322-'الافتراضات'!$B$7-'الافتراضات'!$B$8))</f>
        <v/>
      </c>
    </row>
    <row r="323">
      <c r="A323" s="10" t="n">
        <v>322</v>
      </c>
      <c r="B323" s="11" t="inlineStr">
        <is>
          <t>الرياضة واللياقة</t>
        </is>
      </c>
      <c r="C323" s="11" t="inlineStr">
        <is>
          <t>شبكة بادمنتون محمولة</t>
        </is>
      </c>
      <c r="D323" s="11" t="inlineStr">
        <is>
          <t>portable badminton net</t>
        </is>
      </c>
      <c r="E323" s="12" t="n">
        <v>113</v>
      </c>
      <c r="F323" s="10" t="inlineStr">
        <is>
          <t>تقدير</t>
        </is>
      </c>
      <c r="G323" s="10" t="inlineStr">
        <is>
          <t>تقدير</t>
        </is>
      </c>
      <c r="H323" s="10" t="inlineStr">
        <is>
          <t>لم تُفحص</t>
        </is>
      </c>
      <c r="I323" s="10" t="inlineStr">
        <is>
          <t>لم يُفحص</t>
        </is>
      </c>
      <c r="J323" s="13" t="n">
        <v>10</v>
      </c>
      <c r="K323" s="11" t="inlineStr">
        <is>
          <t>تقدير</t>
        </is>
      </c>
      <c r="L323" s="14" t="n">
        <v>2</v>
      </c>
      <c r="M323" s="10" t="inlineStr">
        <is>
          <t>كبير</t>
        </is>
      </c>
      <c r="N323" s="11" t="inlineStr">
        <is>
          <t>طوال السنة</t>
        </is>
      </c>
      <c r="O323" s="11" t="inlineStr">
        <is>
          <t>لا</t>
        </is>
      </c>
      <c r="P323" s="15" t="n">
        <v>0.13</v>
      </c>
      <c r="Q323" s="14" t="n">
        <v>15</v>
      </c>
      <c r="R323" s="14" t="n">
        <v>50</v>
      </c>
      <c r="S323" s="16">
        <f>J323*'الافتراضات'!$B$2*(1+'الافتراضات'!$B$3)</f>
        <v/>
      </c>
      <c r="T323" s="16">
        <f>L323*'الافتراضات'!$B$4</f>
        <v/>
      </c>
      <c r="U323" s="16">
        <f>(S323+T323)*'الافتراضات'!$B$5</f>
        <v/>
      </c>
      <c r="V323" s="16">
        <f>S323+T323+U323</f>
        <v/>
      </c>
      <c r="W323" s="16">
        <f>MAX(1,E323*P323)</f>
        <v/>
      </c>
      <c r="X323" s="16">
        <f>E323*'الافتراضات'!$B$7</f>
        <v/>
      </c>
      <c r="Y323" s="16">
        <f>E323*'الافتراضات'!$B$8</f>
        <v/>
      </c>
      <c r="Z323" s="16">
        <f>E323/(1+'الافتراضات'!$B$6)</f>
        <v/>
      </c>
      <c r="AA323" s="16">
        <f>Z323-V323-W323-Q323-X323-Y323</f>
        <v/>
      </c>
      <c r="AB323" s="17">
        <f>IF(Z323=0,0,AA323/Z323)</f>
        <v/>
      </c>
      <c r="AC323" s="17">
        <f>IF(V323=0,0,AA323/V323)</f>
        <v/>
      </c>
      <c r="AD323" s="18">
        <f>R323*V323</f>
        <v/>
      </c>
      <c r="AE323" s="16">
        <f>IF(AB323&gt;='الافتراضات'!$B$9,IF(O323="لا","ابدأ به","جيد – يحتاج شهادة"),IF(AB323&gt;='الافتراضات'!$B$10,"مقبول","ضعيف"))</f>
        <v/>
      </c>
      <c r="AF323" s="16">
        <f>IF((1-'الافتراضات'!$B$9)/(1+'الافتراضات'!$B$6)-P323-'الافتراضات'!$B$7-'الافتراضات'!$B$8&lt;=0,0,(V323+Q323)/((1-'الافتراضات'!$B$9)/(1+'الافتراضات'!$B$6)-P323-'الافتراضات'!$B$7-'الافتراضات'!$B$8))</f>
        <v/>
      </c>
    </row>
    <row r="324">
      <c r="A324" s="10" t="n">
        <v>323</v>
      </c>
      <c r="B324" s="11" t="inlineStr">
        <is>
          <t>الحقائب والسفر</t>
        </is>
      </c>
      <c r="C324" s="11" t="inlineStr">
        <is>
          <t>حقيبة ظهر مكافحة السرقة</t>
        </is>
      </c>
      <c r="D324" s="11" t="inlineStr">
        <is>
          <t>anti theft backpack usb</t>
        </is>
      </c>
      <c r="E324" s="12" t="n">
        <v>102</v>
      </c>
      <c r="F324" s="10" t="inlineStr">
        <is>
          <t>تقدير</t>
        </is>
      </c>
      <c r="G324" s="10" t="inlineStr">
        <is>
          <t>تقدير</t>
        </is>
      </c>
      <c r="H324" s="10" t="inlineStr">
        <is>
          <t>لم تُفحص</t>
        </is>
      </c>
      <c r="I324" s="10" t="inlineStr">
        <is>
          <t>لم يُفحص</t>
        </is>
      </c>
      <c r="J324" s="13" t="n">
        <v>9</v>
      </c>
      <c r="K324" s="11" t="inlineStr">
        <is>
          <t>تقدير</t>
        </is>
      </c>
      <c r="L324" s="14" t="n">
        <v>0.8</v>
      </c>
      <c r="M324" s="10" t="inlineStr">
        <is>
          <t>متوسط</t>
        </is>
      </c>
      <c r="N324" s="11" t="inlineStr">
        <is>
          <t>طوال السنة</t>
        </is>
      </c>
      <c r="O324" s="11" t="inlineStr">
        <is>
          <t>لا</t>
        </is>
      </c>
      <c r="P324" s="15" t="n">
        <v>0.25</v>
      </c>
      <c r="Q324" s="14" t="n">
        <v>10</v>
      </c>
      <c r="R324" s="14" t="n">
        <v>50</v>
      </c>
      <c r="S324" s="16">
        <f>J324*'الافتراضات'!$B$2*(1+'الافتراضات'!$B$3)</f>
        <v/>
      </c>
      <c r="T324" s="16">
        <f>L324*'الافتراضات'!$B$4</f>
        <v/>
      </c>
      <c r="U324" s="16">
        <f>(S324+T324)*'الافتراضات'!$B$5</f>
        <v/>
      </c>
      <c r="V324" s="16">
        <f>S324+T324+U324</f>
        <v/>
      </c>
      <c r="W324" s="16">
        <f>MAX(1,E324*P324)</f>
        <v/>
      </c>
      <c r="X324" s="16">
        <f>E324*'الافتراضات'!$B$7</f>
        <v/>
      </c>
      <c r="Y324" s="16">
        <f>E324*'الافتراضات'!$B$8</f>
        <v/>
      </c>
      <c r="Z324" s="16">
        <f>E324/(1+'الافتراضات'!$B$6)</f>
        <v/>
      </c>
      <c r="AA324" s="16">
        <f>Z324-V324-W324-Q324-X324-Y324</f>
        <v/>
      </c>
      <c r="AB324" s="17">
        <f>IF(Z324=0,0,AA324/Z324)</f>
        <v/>
      </c>
      <c r="AC324" s="17">
        <f>IF(V324=0,0,AA324/V324)</f>
        <v/>
      </c>
      <c r="AD324" s="18">
        <f>R324*V324</f>
        <v/>
      </c>
      <c r="AE324" s="16">
        <f>IF(AB324&gt;='الافتراضات'!$B$9,IF(O324="لا","ابدأ به","جيد – يحتاج شهادة"),IF(AB324&gt;='الافتراضات'!$B$10,"مقبول","ضعيف"))</f>
        <v/>
      </c>
      <c r="AF324" s="16">
        <f>IF((1-'الافتراضات'!$B$9)/(1+'الافتراضات'!$B$6)-P324-'الافتراضات'!$B$7-'الافتراضات'!$B$8&lt;=0,0,(V324+Q324)/((1-'الافتراضات'!$B$9)/(1+'الافتراضات'!$B$6)-P324-'الافتراضات'!$B$7-'الافتراضات'!$B$8))</f>
        <v/>
      </c>
    </row>
    <row r="325">
      <c r="A325" s="10" t="n">
        <v>324</v>
      </c>
      <c r="B325" s="11" t="inlineStr">
        <is>
          <t>الأدوات والصيانة</t>
        </is>
      </c>
      <c r="C325" s="11" t="inlineStr">
        <is>
          <t>كاشف دخان</t>
        </is>
      </c>
      <c r="D325" s="11" t="inlineStr">
        <is>
          <t>smoke detector</t>
        </is>
      </c>
      <c r="E325" s="12" t="n">
        <v>40</v>
      </c>
      <c r="F325" s="10" t="inlineStr">
        <is>
          <t>تقدير</t>
        </is>
      </c>
      <c r="G325" s="10" t="inlineStr">
        <is>
          <t>تقدير</t>
        </is>
      </c>
      <c r="H325" s="10" t="inlineStr">
        <is>
          <t>لم تُفحص</t>
        </is>
      </c>
      <c r="I325" s="10" t="inlineStr">
        <is>
          <t>لم يُفحص</t>
        </is>
      </c>
      <c r="J325" s="13" t="n">
        <v>3.5</v>
      </c>
      <c r="K325" s="11" t="inlineStr">
        <is>
          <t>تقدير</t>
        </is>
      </c>
      <c r="L325" s="14" t="n">
        <v>0.25</v>
      </c>
      <c r="M325" s="10" t="inlineStr">
        <is>
          <t>صغير</t>
        </is>
      </c>
      <c r="N325" s="11" t="inlineStr">
        <is>
          <t>طوال السنة</t>
        </is>
      </c>
      <c r="O325" s="11" t="inlineStr">
        <is>
          <t>تحقق من اللوائح</t>
        </is>
      </c>
      <c r="P325" s="15" t="n">
        <v>0.14</v>
      </c>
      <c r="Q325" s="14" t="n">
        <v>9</v>
      </c>
      <c r="R325" s="14" t="n">
        <v>50</v>
      </c>
      <c r="S325" s="16">
        <f>J325*'الافتراضات'!$B$2*(1+'الافتراضات'!$B$3)</f>
        <v/>
      </c>
      <c r="T325" s="16">
        <f>L325*'الافتراضات'!$B$4</f>
        <v/>
      </c>
      <c r="U325" s="16">
        <f>(S325+T325)*'الافتراضات'!$B$5</f>
        <v/>
      </c>
      <c r="V325" s="16">
        <f>S325+T325+U325</f>
        <v/>
      </c>
      <c r="W325" s="16">
        <f>MAX(1,E325*P325)</f>
        <v/>
      </c>
      <c r="X325" s="16">
        <f>E325*'الافتراضات'!$B$7</f>
        <v/>
      </c>
      <c r="Y325" s="16">
        <f>E325*'الافتراضات'!$B$8</f>
        <v/>
      </c>
      <c r="Z325" s="16">
        <f>E325/(1+'الافتراضات'!$B$6)</f>
        <v/>
      </c>
      <c r="AA325" s="16">
        <f>Z325-V325-W325-Q325-X325-Y325</f>
        <v/>
      </c>
      <c r="AB325" s="17">
        <f>IF(Z325=0,0,AA325/Z325)</f>
        <v/>
      </c>
      <c r="AC325" s="17">
        <f>IF(V325=0,0,AA325/V325)</f>
        <v/>
      </c>
      <c r="AD325" s="18">
        <f>R325*V325</f>
        <v/>
      </c>
      <c r="AE325" s="16">
        <f>IF(AB325&gt;='الافتراضات'!$B$9,IF(O325="لا","ابدأ به","جيد – يحتاج شهادة"),IF(AB325&gt;='الافتراضات'!$B$10,"مقبول","ضعيف"))</f>
        <v/>
      </c>
      <c r="AF325" s="16">
        <f>IF((1-'الافتراضات'!$B$9)/(1+'الافتراضات'!$B$6)-P325-'الافتراضات'!$B$7-'الافتراضات'!$B$8&lt;=0,0,(V325+Q325)/((1-'الافتراضات'!$B$9)/(1+'الافتراضات'!$B$6)-P325-'الافتراضات'!$B$7-'الافتراضات'!$B$8))</f>
        <v/>
      </c>
    </row>
    <row r="326">
      <c r="A326" s="10" t="n">
        <v>325</v>
      </c>
      <c r="B326" s="11" t="inlineStr">
        <is>
          <t>السيارات والدراجات</t>
        </is>
      </c>
      <c r="C326" s="11" t="inlineStr">
        <is>
          <t>كابلات تشغيل البطارية</t>
        </is>
      </c>
      <c r="D326" s="11" t="inlineStr">
        <is>
          <t>jumper cables heavy duty</t>
        </is>
      </c>
      <c r="E326" s="12" t="n">
        <v>68</v>
      </c>
      <c r="F326" s="10" t="inlineStr">
        <is>
          <t>تقدير</t>
        </is>
      </c>
      <c r="G326" s="10" t="inlineStr">
        <is>
          <t>تقدير</t>
        </is>
      </c>
      <c r="H326" s="10" t="inlineStr">
        <is>
          <t>لم تُفحص</t>
        </is>
      </c>
      <c r="I326" s="10" t="inlineStr">
        <is>
          <t>لم يُفحص</t>
        </is>
      </c>
      <c r="J326" s="13" t="n">
        <v>6</v>
      </c>
      <c r="K326" s="11" t="inlineStr">
        <is>
          <t>تقدير</t>
        </is>
      </c>
      <c r="L326" s="14" t="n">
        <v>1.5</v>
      </c>
      <c r="M326" s="10" t="inlineStr">
        <is>
          <t>متوسط</t>
        </is>
      </c>
      <c r="N326" s="11" t="inlineStr">
        <is>
          <t>طوال السنة</t>
        </is>
      </c>
      <c r="O326" s="11" t="inlineStr">
        <is>
          <t>لا</t>
        </is>
      </c>
      <c r="P326" s="15" t="n">
        <v>0.06</v>
      </c>
      <c r="Q326" s="14" t="n">
        <v>11.5</v>
      </c>
      <c r="R326" s="14" t="n">
        <v>50</v>
      </c>
      <c r="S326" s="16">
        <f>J326*'الافتراضات'!$B$2*(1+'الافتراضات'!$B$3)</f>
        <v/>
      </c>
      <c r="T326" s="16">
        <f>L326*'الافتراضات'!$B$4</f>
        <v/>
      </c>
      <c r="U326" s="16">
        <f>(S326+T326)*'الافتراضات'!$B$5</f>
        <v/>
      </c>
      <c r="V326" s="16">
        <f>S326+T326+U326</f>
        <v/>
      </c>
      <c r="W326" s="16">
        <f>MAX(1,E326*P326)</f>
        <v/>
      </c>
      <c r="X326" s="16">
        <f>E326*'الافتراضات'!$B$7</f>
        <v/>
      </c>
      <c r="Y326" s="16">
        <f>E326*'الافتراضات'!$B$8</f>
        <v/>
      </c>
      <c r="Z326" s="16">
        <f>E326/(1+'الافتراضات'!$B$6)</f>
        <v/>
      </c>
      <c r="AA326" s="16">
        <f>Z326-V326-W326-Q326-X326-Y326</f>
        <v/>
      </c>
      <c r="AB326" s="17">
        <f>IF(Z326=0,0,AA326/Z326)</f>
        <v/>
      </c>
      <c r="AC326" s="17">
        <f>IF(V326=0,0,AA326/V326)</f>
        <v/>
      </c>
      <c r="AD326" s="18">
        <f>R326*V326</f>
        <v/>
      </c>
      <c r="AE326" s="16">
        <f>IF(AB326&gt;='الافتراضات'!$B$9,IF(O326="لا","ابدأ به","جيد – يحتاج شهادة"),IF(AB326&gt;='الافتراضات'!$B$10,"مقبول","ضعيف"))</f>
        <v/>
      </c>
      <c r="AF326" s="16">
        <f>IF((1-'الافتراضات'!$B$9)/(1+'الافتراضات'!$B$6)-P326-'الافتراضات'!$B$7-'الافتراضات'!$B$8&lt;=0,0,(V326+Q326)/((1-'الافتراضات'!$B$9)/(1+'الافتراضات'!$B$6)-P326-'الافتراضات'!$B$7-'الافتراضات'!$B$8))</f>
        <v/>
      </c>
    </row>
    <row r="327">
      <c r="A327" s="10" t="n">
        <v>326</v>
      </c>
      <c r="B327" s="11" t="inlineStr">
        <is>
          <t>الأطفال والألعاب</t>
        </is>
      </c>
      <c r="C327" s="11" t="inlineStr">
        <is>
          <t>لعبة سيارات سباق مسارات</t>
        </is>
      </c>
      <c r="D327" s="11" t="inlineStr">
        <is>
          <t>racing car track set</t>
        </is>
      </c>
      <c r="E327" s="12" t="n">
        <v>79</v>
      </c>
      <c r="F327" s="10" t="inlineStr">
        <is>
          <t>تقدير</t>
        </is>
      </c>
      <c r="G327" s="10" t="inlineStr">
        <is>
          <t>تقدير</t>
        </is>
      </c>
      <c r="H327" s="10" t="inlineStr">
        <is>
          <t>لم تُفحص</t>
        </is>
      </c>
      <c r="I327" s="10" t="inlineStr">
        <is>
          <t>لم يُفحص</t>
        </is>
      </c>
      <c r="J327" s="13" t="n">
        <v>7</v>
      </c>
      <c r="K327" s="11" t="inlineStr">
        <is>
          <t>تقدير</t>
        </is>
      </c>
      <c r="L327" s="14" t="n">
        <v>1.2</v>
      </c>
      <c r="M327" s="10" t="inlineStr">
        <is>
          <t>متوسط</t>
        </is>
      </c>
      <c r="N327" s="11" t="inlineStr">
        <is>
          <t>طوال السنة</t>
        </is>
      </c>
      <c r="O327" s="11" t="inlineStr">
        <is>
          <t>اشتراطات سلامة الألعاب</t>
        </is>
      </c>
      <c r="P327" s="15" t="n">
        <v>0.14</v>
      </c>
      <c r="Q327" s="14" t="n">
        <v>11.5</v>
      </c>
      <c r="R327" s="14" t="n">
        <v>50</v>
      </c>
      <c r="S327" s="16">
        <f>J327*'الافتراضات'!$B$2*(1+'الافتراضات'!$B$3)</f>
        <v/>
      </c>
      <c r="T327" s="16">
        <f>L327*'الافتراضات'!$B$4</f>
        <v/>
      </c>
      <c r="U327" s="16">
        <f>(S327+T327)*'الافتراضات'!$B$5</f>
        <v/>
      </c>
      <c r="V327" s="16">
        <f>S327+T327+U327</f>
        <v/>
      </c>
      <c r="W327" s="16">
        <f>MAX(1,E327*P327)</f>
        <v/>
      </c>
      <c r="X327" s="16">
        <f>E327*'الافتراضات'!$B$7</f>
        <v/>
      </c>
      <c r="Y327" s="16">
        <f>E327*'الافتراضات'!$B$8</f>
        <v/>
      </c>
      <c r="Z327" s="16">
        <f>E327/(1+'الافتراضات'!$B$6)</f>
        <v/>
      </c>
      <c r="AA327" s="16">
        <f>Z327-V327-W327-Q327-X327-Y327</f>
        <v/>
      </c>
      <c r="AB327" s="17">
        <f>IF(Z327=0,0,AA327/Z327)</f>
        <v/>
      </c>
      <c r="AC327" s="17">
        <f>IF(V327=0,0,AA327/V327)</f>
        <v/>
      </c>
      <c r="AD327" s="18">
        <f>R327*V327</f>
        <v/>
      </c>
      <c r="AE327" s="16">
        <f>IF(AB327&gt;='الافتراضات'!$B$9,IF(O327="لا","ابدأ به","جيد – يحتاج شهادة"),IF(AB327&gt;='الافتراضات'!$B$10,"مقبول","ضعيف"))</f>
        <v/>
      </c>
      <c r="AF327" s="16">
        <f>IF((1-'الافتراضات'!$B$9)/(1+'الافتراضات'!$B$6)-P327-'الافتراضات'!$B$7-'الافتراضات'!$B$8&lt;=0,0,(V327+Q327)/((1-'الافتراضات'!$B$9)/(1+'الافتراضات'!$B$6)-P327-'الافتراضات'!$B$7-'الافتراضات'!$B$8))</f>
        <v/>
      </c>
    </row>
    <row r="328">
      <c r="A328" s="10" t="n">
        <v>327</v>
      </c>
      <c r="B328" s="11" t="inlineStr">
        <is>
          <t>الإضاءة والديكور</t>
        </is>
      </c>
      <c r="C328" s="11" t="inlineStr">
        <is>
          <t>أباجورة طاولة</t>
        </is>
      </c>
      <c r="D328" s="11" t="inlineStr">
        <is>
          <t>table lamp bedroom</t>
        </is>
      </c>
      <c r="E328" s="12" t="n">
        <v>79</v>
      </c>
      <c r="F328" s="10" t="inlineStr">
        <is>
          <t>تقدير</t>
        </is>
      </c>
      <c r="G328" s="10" t="inlineStr">
        <is>
          <t>تقدير</t>
        </is>
      </c>
      <c r="H328" s="10" t="inlineStr">
        <is>
          <t>لم تُفحص</t>
        </is>
      </c>
      <c r="I328" s="10" t="inlineStr">
        <is>
          <t>لم يُفحص</t>
        </is>
      </c>
      <c r="J328" s="13" t="n">
        <v>7</v>
      </c>
      <c r="K328" s="11" t="inlineStr">
        <is>
          <t>تقدير</t>
        </is>
      </c>
      <c r="L328" s="14" t="n">
        <v>1.2</v>
      </c>
      <c r="M328" s="10" t="inlineStr">
        <is>
          <t>متوسط</t>
        </is>
      </c>
      <c r="N328" s="11" t="inlineStr">
        <is>
          <t>طوال السنة</t>
        </is>
      </c>
      <c r="O328" s="11" t="inlineStr">
        <is>
          <t>SABER</t>
        </is>
      </c>
      <c r="P328" s="15" t="n">
        <v>0.14</v>
      </c>
      <c r="Q328" s="14" t="n">
        <v>11.5</v>
      </c>
      <c r="R328" s="14" t="n">
        <v>50</v>
      </c>
      <c r="S328" s="16">
        <f>J328*'الافتراضات'!$B$2*(1+'الافتراضات'!$B$3)</f>
        <v/>
      </c>
      <c r="T328" s="16">
        <f>L328*'الافتراضات'!$B$4</f>
        <v/>
      </c>
      <c r="U328" s="16">
        <f>(S328+T328)*'الافتراضات'!$B$5</f>
        <v/>
      </c>
      <c r="V328" s="16">
        <f>S328+T328+U328</f>
        <v/>
      </c>
      <c r="W328" s="16">
        <f>MAX(1,E328*P328)</f>
        <v/>
      </c>
      <c r="X328" s="16">
        <f>E328*'الافتراضات'!$B$7</f>
        <v/>
      </c>
      <c r="Y328" s="16">
        <f>E328*'الافتراضات'!$B$8</f>
        <v/>
      </c>
      <c r="Z328" s="16">
        <f>E328/(1+'الافتراضات'!$B$6)</f>
        <v/>
      </c>
      <c r="AA328" s="16">
        <f>Z328-V328-W328-Q328-X328-Y328</f>
        <v/>
      </c>
      <c r="AB328" s="17">
        <f>IF(Z328=0,0,AA328/Z328)</f>
        <v/>
      </c>
      <c r="AC328" s="17">
        <f>IF(V328=0,0,AA328/V328)</f>
        <v/>
      </c>
      <c r="AD328" s="18">
        <f>R328*V328</f>
        <v/>
      </c>
      <c r="AE328" s="16">
        <f>IF(AB328&gt;='الافتراضات'!$B$9,IF(O328="لا","ابدأ به","جيد – يحتاج شهادة"),IF(AB328&gt;='الافتراضات'!$B$10,"مقبول","ضعيف"))</f>
        <v/>
      </c>
      <c r="AF328" s="16">
        <f>IF((1-'الافتراضات'!$B$9)/(1+'الافتراضات'!$B$6)-P328-'الافتراضات'!$B$7-'الافتراضات'!$B$8&lt;=0,0,(V328+Q328)/((1-'الافتراضات'!$B$9)/(1+'الافتراضات'!$B$6)-P328-'الافتراضات'!$B$7-'الافتراضات'!$B$8))</f>
        <v/>
      </c>
    </row>
    <row r="329">
      <c r="A329" s="10" t="n">
        <v>328</v>
      </c>
      <c r="B329" s="11" t="inlineStr">
        <is>
          <t>المكتب والدراسة</t>
        </is>
      </c>
      <c r="C329" s="11" t="inlineStr">
        <is>
          <t>آلة حاسبة مكتبية كبيرة</t>
        </is>
      </c>
      <c r="D329" s="11" t="inlineStr">
        <is>
          <t>desktop calculator 12 digit</t>
        </is>
      </c>
      <c r="E329" s="12" t="n">
        <v>25</v>
      </c>
      <c r="F329" s="10" t="inlineStr">
        <is>
          <t>تقدير</t>
        </is>
      </c>
      <c r="G329" s="10" t="inlineStr">
        <is>
          <t>تقدير</t>
        </is>
      </c>
      <c r="H329" s="10" t="inlineStr">
        <is>
          <t>لم تُفحص</t>
        </is>
      </c>
      <c r="I329" s="10" t="inlineStr">
        <is>
          <t>لم يُفحص</t>
        </is>
      </c>
      <c r="J329" s="13" t="n">
        <v>1.8</v>
      </c>
      <c r="K329" s="11" t="inlineStr">
        <is>
          <t>تقدير</t>
        </is>
      </c>
      <c r="L329" s="14" t="n">
        <v>0.25</v>
      </c>
      <c r="M329" s="10" t="inlineStr">
        <is>
          <t>صغير</t>
        </is>
      </c>
      <c r="N329" s="11" t="inlineStr">
        <is>
          <t>طوال السنة</t>
        </is>
      </c>
      <c r="O329" s="11" t="inlineStr">
        <is>
          <t>SABER + بطارية ليثيوم</t>
        </is>
      </c>
      <c r="P329" s="15" t="n">
        <v>0.12</v>
      </c>
      <c r="Q329" s="14" t="n">
        <v>7</v>
      </c>
      <c r="R329" s="14" t="n">
        <v>50</v>
      </c>
      <c r="S329" s="16">
        <f>J329*'الافتراضات'!$B$2*(1+'الافتراضات'!$B$3)</f>
        <v/>
      </c>
      <c r="T329" s="16">
        <f>L329*'الافتراضات'!$B$4</f>
        <v/>
      </c>
      <c r="U329" s="16">
        <f>(S329+T329)*'الافتراضات'!$B$5</f>
        <v/>
      </c>
      <c r="V329" s="16">
        <f>S329+T329+U329</f>
        <v/>
      </c>
      <c r="W329" s="16">
        <f>MAX(1,E329*P329)</f>
        <v/>
      </c>
      <c r="X329" s="16">
        <f>E329*'الافتراضات'!$B$7</f>
        <v/>
      </c>
      <c r="Y329" s="16">
        <f>E329*'الافتراضات'!$B$8</f>
        <v/>
      </c>
      <c r="Z329" s="16">
        <f>E329/(1+'الافتراضات'!$B$6)</f>
        <v/>
      </c>
      <c r="AA329" s="16">
        <f>Z329-V329-W329-Q329-X329-Y329</f>
        <v/>
      </c>
      <c r="AB329" s="17">
        <f>IF(Z329=0,0,AA329/Z329)</f>
        <v/>
      </c>
      <c r="AC329" s="17">
        <f>IF(V329=0,0,AA329/V329)</f>
        <v/>
      </c>
      <c r="AD329" s="18">
        <f>R329*V329</f>
        <v/>
      </c>
      <c r="AE329" s="16">
        <f>IF(AB329&gt;='الافتراضات'!$B$9,IF(O329="لا","ابدأ به","جيد – يحتاج شهادة"),IF(AB329&gt;='الافتراضات'!$B$10,"مقبول","ضعيف"))</f>
        <v/>
      </c>
      <c r="AF329" s="16">
        <f>IF((1-'الافتراضات'!$B$9)/(1+'الافتراضات'!$B$6)-P329-'الافتراضات'!$B$7-'الافتراضات'!$B$8&lt;=0,0,(V329+Q329)/((1-'الافتراضات'!$B$9)/(1+'الافتراضات'!$B$6)-P329-'الافتراضات'!$B$7-'الافتراضات'!$B$8))</f>
        <v/>
      </c>
    </row>
    <row r="330">
      <c r="A330" s="10" t="n">
        <v>329</v>
      </c>
      <c r="B330" s="11" t="inlineStr">
        <is>
          <t>التخييم والسفر</t>
        </is>
      </c>
      <c r="C330" s="11" t="inlineStr">
        <is>
          <t>مدفأة يد قابلة للشحن</t>
        </is>
      </c>
      <c r="D330" s="11" t="inlineStr">
        <is>
          <t>rechargeable hand warmer power bank</t>
        </is>
      </c>
      <c r="E330" s="12" t="n">
        <v>38</v>
      </c>
      <c r="F330" s="10" t="inlineStr">
        <is>
          <t>تقدير</t>
        </is>
      </c>
      <c r="G330" s="10" t="inlineStr">
        <is>
          <t>تقدير</t>
        </is>
      </c>
      <c r="H330" s="10" t="inlineStr">
        <is>
          <t>لم تُفحص</t>
        </is>
      </c>
      <c r="I330" s="10" t="inlineStr">
        <is>
          <t>لم يُفحص</t>
        </is>
      </c>
      <c r="J330" s="13" t="n">
        <v>3.4</v>
      </c>
      <c r="K330" s="11" t="inlineStr">
        <is>
          <t>تقدير</t>
        </is>
      </c>
      <c r="L330" s="14" t="n">
        <v>0.2</v>
      </c>
      <c r="M330" s="10" t="inlineStr">
        <is>
          <t>صغير</t>
        </is>
      </c>
      <c r="N330" s="11" t="inlineStr">
        <is>
          <t>الشتاء والكشتات</t>
        </is>
      </c>
      <c r="O330" s="11" t="inlineStr">
        <is>
          <t>SABER + بطارية ليثيوم</t>
        </is>
      </c>
      <c r="P330" s="15" t="n">
        <v>0.13</v>
      </c>
      <c r="Q330" s="14" t="n">
        <v>9</v>
      </c>
      <c r="R330" s="14" t="n">
        <v>50</v>
      </c>
      <c r="S330" s="16">
        <f>J330*'الافتراضات'!$B$2*(1+'الافتراضات'!$B$3)</f>
        <v/>
      </c>
      <c r="T330" s="16">
        <f>L330*'الافتراضات'!$B$4</f>
        <v/>
      </c>
      <c r="U330" s="16">
        <f>(S330+T330)*'الافتراضات'!$B$5</f>
        <v/>
      </c>
      <c r="V330" s="16">
        <f>S330+T330+U330</f>
        <v/>
      </c>
      <c r="W330" s="16">
        <f>MAX(1,E330*P330)</f>
        <v/>
      </c>
      <c r="X330" s="16">
        <f>E330*'الافتراضات'!$B$7</f>
        <v/>
      </c>
      <c r="Y330" s="16">
        <f>E330*'الافتراضات'!$B$8</f>
        <v/>
      </c>
      <c r="Z330" s="16">
        <f>E330/(1+'الافتراضات'!$B$6)</f>
        <v/>
      </c>
      <c r="AA330" s="16">
        <f>Z330-V330-W330-Q330-X330-Y330</f>
        <v/>
      </c>
      <c r="AB330" s="17">
        <f>IF(Z330=0,0,AA330/Z330)</f>
        <v/>
      </c>
      <c r="AC330" s="17">
        <f>IF(V330=0,0,AA330/V330)</f>
        <v/>
      </c>
      <c r="AD330" s="18">
        <f>R330*V330</f>
        <v/>
      </c>
      <c r="AE330" s="16">
        <f>IF(AB330&gt;='الافتراضات'!$B$9,IF(O330="لا","ابدأ به","جيد – يحتاج شهادة"),IF(AB330&gt;='الافتراضات'!$B$10,"مقبول","ضعيف"))</f>
        <v/>
      </c>
      <c r="AF330" s="16">
        <f>IF((1-'الافتراضات'!$B$9)/(1+'الافتراضات'!$B$6)-P330-'الافتراضات'!$B$7-'الافتراضات'!$B$8&lt;=0,0,(V330+Q330)/((1-'الافتراضات'!$B$9)/(1+'الافتراضات'!$B$6)-P330-'الافتراضات'!$B$7-'الافتراضات'!$B$8))</f>
        <v/>
      </c>
    </row>
    <row r="331">
      <c r="A331" s="10" t="n">
        <v>330</v>
      </c>
      <c r="B331" s="11" t="inlineStr">
        <is>
          <t>التنظيف والغسيل</t>
        </is>
      </c>
      <c r="C331" s="11" t="inlineStr">
        <is>
          <t>مزيل وبر كهربائي للملابس</t>
        </is>
      </c>
      <c r="D331" s="11" t="inlineStr">
        <is>
          <t>electric fabric shaver lint</t>
        </is>
      </c>
      <c r="E331" s="12" t="n">
        <v>34</v>
      </c>
      <c r="F331" s="10" t="inlineStr">
        <is>
          <t>تقدير</t>
        </is>
      </c>
      <c r="G331" s="10" t="inlineStr">
        <is>
          <t>تقدير</t>
        </is>
      </c>
      <c r="H331" s="10" t="inlineStr">
        <is>
          <t>لم تُفحص</t>
        </is>
      </c>
      <c r="I331" s="10" t="inlineStr">
        <is>
          <t>لم يُفحص</t>
        </is>
      </c>
      <c r="J331" s="13" t="n">
        <v>3</v>
      </c>
      <c r="K331" s="11" t="inlineStr">
        <is>
          <t>تقدير</t>
        </is>
      </c>
      <c r="L331" s="14" t="n">
        <v>0.25</v>
      </c>
      <c r="M331" s="10" t="inlineStr">
        <is>
          <t>صغير</t>
        </is>
      </c>
      <c r="N331" s="11" t="inlineStr">
        <is>
          <t>طوال السنة</t>
        </is>
      </c>
      <c r="O331" s="11" t="inlineStr">
        <is>
          <t>SABER + بطارية ليثيوم</t>
        </is>
      </c>
      <c r="P331" s="15" t="n">
        <v>0.09</v>
      </c>
      <c r="Q331" s="14" t="n">
        <v>9</v>
      </c>
      <c r="R331" s="14" t="n">
        <v>50</v>
      </c>
      <c r="S331" s="16">
        <f>J331*'الافتراضات'!$B$2*(1+'الافتراضات'!$B$3)</f>
        <v/>
      </c>
      <c r="T331" s="16">
        <f>L331*'الافتراضات'!$B$4</f>
        <v/>
      </c>
      <c r="U331" s="16">
        <f>(S331+T331)*'الافتراضات'!$B$5</f>
        <v/>
      </c>
      <c r="V331" s="16">
        <f>S331+T331+U331</f>
        <v/>
      </c>
      <c r="W331" s="16">
        <f>MAX(1,E331*P331)</f>
        <v/>
      </c>
      <c r="X331" s="16">
        <f>E331*'الافتراضات'!$B$7</f>
        <v/>
      </c>
      <c r="Y331" s="16">
        <f>E331*'الافتراضات'!$B$8</f>
        <v/>
      </c>
      <c r="Z331" s="16">
        <f>E331/(1+'الافتراضات'!$B$6)</f>
        <v/>
      </c>
      <c r="AA331" s="16">
        <f>Z331-V331-W331-Q331-X331-Y331</f>
        <v/>
      </c>
      <c r="AB331" s="17">
        <f>IF(Z331=0,0,AA331/Z331)</f>
        <v/>
      </c>
      <c r="AC331" s="17">
        <f>IF(V331=0,0,AA331/V331)</f>
        <v/>
      </c>
      <c r="AD331" s="18">
        <f>R331*V331</f>
        <v/>
      </c>
      <c r="AE331" s="16">
        <f>IF(AB331&gt;='الافتراضات'!$B$9,IF(O331="لا","ابدأ به","جيد – يحتاج شهادة"),IF(AB331&gt;='الافتراضات'!$B$10,"مقبول","ضعيف"))</f>
        <v/>
      </c>
      <c r="AF331" s="16">
        <f>IF((1-'الافتراضات'!$B$9)/(1+'الافتراضات'!$B$6)-P331-'الافتراضات'!$B$7-'الافتراضات'!$B$8&lt;=0,0,(V331+Q331)/((1-'الافتراضات'!$B$9)/(1+'الافتراضات'!$B$6)-P331-'الافتراضات'!$B$7-'الافتراضات'!$B$8))</f>
        <v/>
      </c>
    </row>
    <row r="332">
      <c r="A332" s="10" t="n">
        <v>331</v>
      </c>
      <c r="B332" s="11" t="inlineStr">
        <is>
          <t>المنزل والمطبخ</t>
        </is>
      </c>
      <c r="C332" s="11" t="inlineStr">
        <is>
          <t>فرن كهربائي صغير 12 لتر</t>
        </is>
      </c>
      <c r="D332" s="11" t="inlineStr">
        <is>
          <t>mini oven 12L</t>
        </is>
      </c>
      <c r="E332" s="12" t="n">
        <v>226</v>
      </c>
      <c r="F332" s="10" t="inlineStr">
        <is>
          <t>تقدير</t>
        </is>
      </c>
      <c r="G332" s="10" t="inlineStr">
        <is>
          <t>تقدير</t>
        </is>
      </c>
      <c r="H332" s="10" t="inlineStr">
        <is>
          <t>لم تُفحص</t>
        </is>
      </c>
      <c r="I332" s="10" t="inlineStr">
        <is>
          <t>لم يُفحص</t>
        </is>
      </c>
      <c r="J332" s="13" t="n">
        <v>20</v>
      </c>
      <c r="K332" s="11" t="inlineStr">
        <is>
          <t>تقدير</t>
        </is>
      </c>
      <c r="L332" s="14" t="n">
        <v>5</v>
      </c>
      <c r="M332" s="10" t="inlineStr">
        <is>
          <t>كبير</t>
        </is>
      </c>
      <c r="N332" s="11" t="inlineStr">
        <is>
          <t>طوال السنة</t>
        </is>
      </c>
      <c r="O332" s="11" t="inlineStr">
        <is>
          <t>SABER</t>
        </is>
      </c>
      <c r="P332" s="15" t="n">
        <v>0.15</v>
      </c>
      <c r="Q332" s="14" t="n">
        <v>18</v>
      </c>
      <c r="R332" s="14" t="n">
        <v>50</v>
      </c>
      <c r="S332" s="16">
        <f>J332*'الافتراضات'!$B$2*(1+'الافتراضات'!$B$3)</f>
        <v/>
      </c>
      <c r="T332" s="16">
        <f>L332*'الافتراضات'!$B$4</f>
        <v/>
      </c>
      <c r="U332" s="16">
        <f>(S332+T332)*'الافتراضات'!$B$5</f>
        <v/>
      </c>
      <c r="V332" s="16">
        <f>S332+T332+U332</f>
        <v/>
      </c>
      <c r="W332" s="16">
        <f>MAX(1,E332*P332)</f>
        <v/>
      </c>
      <c r="X332" s="16">
        <f>E332*'الافتراضات'!$B$7</f>
        <v/>
      </c>
      <c r="Y332" s="16">
        <f>E332*'الافتراضات'!$B$8</f>
        <v/>
      </c>
      <c r="Z332" s="16">
        <f>E332/(1+'الافتراضات'!$B$6)</f>
        <v/>
      </c>
      <c r="AA332" s="16">
        <f>Z332-V332-W332-Q332-X332-Y332</f>
        <v/>
      </c>
      <c r="AB332" s="17">
        <f>IF(Z332=0,0,AA332/Z332)</f>
        <v/>
      </c>
      <c r="AC332" s="17">
        <f>IF(V332=0,0,AA332/V332)</f>
        <v/>
      </c>
      <c r="AD332" s="18">
        <f>R332*V332</f>
        <v/>
      </c>
      <c r="AE332" s="16">
        <f>IF(AB332&gt;='الافتراضات'!$B$9,IF(O332="لا","ابدأ به","جيد – يحتاج شهادة"),IF(AB332&gt;='الافتراضات'!$B$10,"مقبول","ضعيف"))</f>
        <v/>
      </c>
      <c r="AF332" s="16">
        <f>IF((1-'الافتراضات'!$B$9)/(1+'الافتراضات'!$B$6)-P332-'الافتراضات'!$B$7-'الافتراضات'!$B$8&lt;=0,0,(V332+Q332)/((1-'الافتراضات'!$B$9)/(1+'الافتراضات'!$B$6)-P332-'الافتراضات'!$B$7-'الافتراضات'!$B$8))</f>
        <v/>
      </c>
    </row>
    <row r="333">
      <c r="A333" s="10" t="n">
        <v>332</v>
      </c>
      <c r="B333" s="11" t="inlineStr">
        <is>
          <t>المكتب والدراسة</t>
        </is>
      </c>
      <c r="C333" s="11" t="inlineStr">
        <is>
          <t>دفتر ملاحظات A5 غلاف جلد</t>
        </is>
      </c>
      <c r="D333" s="11" t="inlineStr">
        <is>
          <t>A5 leather notebook journal</t>
        </is>
      </c>
      <c r="E333" s="12" t="n">
        <v>25</v>
      </c>
      <c r="F333" s="10" t="inlineStr">
        <is>
          <t>تقدير</t>
        </is>
      </c>
      <c r="G333" s="10" t="inlineStr">
        <is>
          <t>تقدير</t>
        </is>
      </c>
      <c r="H333" s="10" t="inlineStr">
        <is>
          <t>لم تُفحص</t>
        </is>
      </c>
      <c r="I333" s="10" t="inlineStr">
        <is>
          <t>لم يُفحص</t>
        </is>
      </c>
      <c r="J333" s="13" t="n">
        <v>1.6</v>
      </c>
      <c r="K333" s="11" t="inlineStr">
        <is>
          <t>تقدير</t>
        </is>
      </c>
      <c r="L333" s="14" t="n">
        <v>0.3</v>
      </c>
      <c r="M333" s="10" t="inlineStr">
        <is>
          <t>صغير</t>
        </is>
      </c>
      <c r="N333" s="11" t="inlineStr">
        <is>
          <t>العودة للمدارس</t>
        </is>
      </c>
      <c r="O333" s="11" t="inlineStr">
        <is>
          <t>لا</t>
        </is>
      </c>
      <c r="P333" s="15" t="n">
        <v>0.12</v>
      </c>
      <c r="Q333" s="14" t="n">
        <v>7.5</v>
      </c>
      <c r="R333" s="14" t="n">
        <v>50</v>
      </c>
      <c r="S333" s="16">
        <f>J333*'الافتراضات'!$B$2*(1+'الافتراضات'!$B$3)</f>
        <v/>
      </c>
      <c r="T333" s="16">
        <f>L333*'الافتراضات'!$B$4</f>
        <v/>
      </c>
      <c r="U333" s="16">
        <f>(S333+T333)*'الافتراضات'!$B$5</f>
        <v/>
      </c>
      <c r="V333" s="16">
        <f>S333+T333+U333</f>
        <v/>
      </c>
      <c r="W333" s="16">
        <f>MAX(1,E333*P333)</f>
        <v/>
      </c>
      <c r="X333" s="16">
        <f>E333*'الافتراضات'!$B$7</f>
        <v/>
      </c>
      <c r="Y333" s="16">
        <f>E333*'الافتراضات'!$B$8</f>
        <v/>
      </c>
      <c r="Z333" s="16">
        <f>E333/(1+'الافتراضات'!$B$6)</f>
        <v/>
      </c>
      <c r="AA333" s="16">
        <f>Z333-V333-W333-Q333-X333-Y333</f>
        <v/>
      </c>
      <c r="AB333" s="17">
        <f>IF(Z333=0,0,AA333/Z333)</f>
        <v/>
      </c>
      <c r="AC333" s="17">
        <f>IF(V333=0,0,AA333/V333)</f>
        <v/>
      </c>
      <c r="AD333" s="18">
        <f>R333*V333</f>
        <v/>
      </c>
      <c r="AE333" s="16">
        <f>IF(AB333&gt;='الافتراضات'!$B$9,IF(O333="لا","ابدأ به","جيد – يحتاج شهادة"),IF(AB333&gt;='الافتراضات'!$B$10,"مقبول","ضعيف"))</f>
        <v/>
      </c>
      <c r="AF333" s="16">
        <f>IF((1-'الافتراضات'!$B$9)/(1+'الافتراضات'!$B$6)-P333-'الافتراضات'!$B$7-'الافتراضات'!$B$8&lt;=0,0,(V333+Q333)/((1-'الافتراضات'!$B$9)/(1+'الافتراضات'!$B$6)-P333-'الافتراضات'!$B$7-'الافتراضات'!$B$8))</f>
        <v/>
      </c>
    </row>
    <row r="334">
      <c r="A334" s="10" t="n">
        <v>333</v>
      </c>
      <c r="B334" s="11" t="inlineStr">
        <is>
          <t>السيارات والدراجات</t>
        </is>
      </c>
      <c r="C334" s="11" t="inlineStr">
        <is>
          <t>أغطية دواسات سيارة</t>
        </is>
      </c>
      <c r="D334" s="11" t="inlineStr">
        <is>
          <t>car pedal covers</t>
        </is>
      </c>
      <c r="E334" s="12" t="n">
        <v>40</v>
      </c>
      <c r="F334" s="10" t="inlineStr">
        <is>
          <t>تقدير</t>
        </is>
      </c>
      <c r="G334" s="10" t="inlineStr">
        <is>
          <t>تقدير</t>
        </is>
      </c>
      <c r="H334" s="10" t="inlineStr">
        <is>
          <t>لم تُفحص</t>
        </is>
      </c>
      <c r="I334" s="10" t="inlineStr">
        <is>
          <t>لم يُفحص</t>
        </is>
      </c>
      <c r="J334" s="13" t="n">
        <v>3.5</v>
      </c>
      <c r="K334" s="11" t="inlineStr">
        <is>
          <t>تقدير</t>
        </is>
      </c>
      <c r="L334" s="14" t="n">
        <v>0.4</v>
      </c>
      <c r="M334" s="10" t="inlineStr">
        <is>
          <t>صغير</t>
        </is>
      </c>
      <c r="N334" s="11" t="inlineStr">
        <is>
          <t>طوال السنة</t>
        </is>
      </c>
      <c r="O334" s="11" t="inlineStr">
        <is>
          <t>لا</t>
        </is>
      </c>
      <c r="P334" s="15" t="n">
        <v>0.1</v>
      </c>
      <c r="Q334" s="14" t="n">
        <v>9.5</v>
      </c>
      <c r="R334" s="14" t="n">
        <v>50</v>
      </c>
      <c r="S334" s="16">
        <f>J334*'الافتراضات'!$B$2*(1+'الافتراضات'!$B$3)</f>
        <v/>
      </c>
      <c r="T334" s="16">
        <f>L334*'الافتراضات'!$B$4</f>
        <v/>
      </c>
      <c r="U334" s="16">
        <f>(S334+T334)*'الافتراضات'!$B$5</f>
        <v/>
      </c>
      <c r="V334" s="16">
        <f>S334+T334+U334</f>
        <v/>
      </c>
      <c r="W334" s="16">
        <f>MAX(1,E334*P334)</f>
        <v/>
      </c>
      <c r="X334" s="16">
        <f>E334*'الافتراضات'!$B$7</f>
        <v/>
      </c>
      <c r="Y334" s="16">
        <f>E334*'الافتراضات'!$B$8</f>
        <v/>
      </c>
      <c r="Z334" s="16">
        <f>E334/(1+'الافتراضات'!$B$6)</f>
        <v/>
      </c>
      <c r="AA334" s="16">
        <f>Z334-V334-W334-Q334-X334-Y334</f>
        <v/>
      </c>
      <c r="AB334" s="17">
        <f>IF(Z334=0,0,AA334/Z334)</f>
        <v/>
      </c>
      <c r="AC334" s="17">
        <f>IF(V334=0,0,AA334/V334)</f>
        <v/>
      </c>
      <c r="AD334" s="18">
        <f>R334*V334</f>
        <v/>
      </c>
      <c r="AE334" s="16">
        <f>IF(AB334&gt;='الافتراضات'!$B$9,IF(O334="لا","ابدأ به","جيد – يحتاج شهادة"),IF(AB334&gt;='الافتراضات'!$B$10,"مقبول","ضعيف"))</f>
        <v/>
      </c>
      <c r="AF334" s="16">
        <f>IF((1-'الافتراضات'!$B$9)/(1+'الافتراضات'!$B$6)-P334-'الافتراضات'!$B$7-'الافتراضات'!$B$8&lt;=0,0,(V334+Q334)/((1-'الافتراضات'!$B$9)/(1+'الافتراضات'!$B$6)-P334-'الافتراضات'!$B$7-'الافتراضات'!$B$8))</f>
        <v/>
      </c>
    </row>
    <row r="335">
      <c r="A335" s="10" t="n">
        <v>334</v>
      </c>
      <c r="B335" s="11" t="inlineStr">
        <is>
          <t>الأطفال والألعاب</t>
        </is>
      </c>
      <c r="C335" s="11" t="inlineStr">
        <is>
          <t>إضاءة ليلية بإسقاط النجوم</t>
        </is>
      </c>
      <c r="D335" s="11" t="inlineStr">
        <is>
          <t>star projector night light</t>
        </is>
      </c>
      <c r="E335" s="12" t="n">
        <v>40</v>
      </c>
      <c r="F335" s="10" t="inlineStr">
        <is>
          <t>تقدير</t>
        </is>
      </c>
      <c r="G335" s="10" t="inlineStr">
        <is>
          <t>تقدير</t>
        </is>
      </c>
      <c r="H335" s="10" t="inlineStr">
        <is>
          <t>لم تُفحص</t>
        </is>
      </c>
      <c r="I335" s="10" t="inlineStr">
        <is>
          <t>لم يُفحص</t>
        </is>
      </c>
      <c r="J335" s="13" t="n">
        <v>3.5</v>
      </c>
      <c r="K335" s="11" t="inlineStr">
        <is>
          <t>تقدير</t>
        </is>
      </c>
      <c r="L335" s="14" t="n">
        <v>0.4</v>
      </c>
      <c r="M335" s="10" t="inlineStr">
        <is>
          <t>صغير</t>
        </is>
      </c>
      <c r="N335" s="11" t="inlineStr">
        <is>
          <t>طوال السنة</t>
        </is>
      </c>
      <c r="O335" s="11" t="inlineStr">
        <is>
          <t>SABER + بطارية ليثيوم</t>
        </is>
      </c>
      <c r="P335" s="15" t="n">
        <v>0.1</v>
      </c>
      <c r="Q335" s="14" t="n">
        <v>9.5</v>
      </c>
      <c r="R335" s="14" t="n">
        <v>50</v>
      </c>
      <c r="S335" s="16">
        <f>J335*'الافتراضات'!$B$2*(1+'الافتراضات'!$B$3)</f>
        <v/>
      </c>
      <c r="T335" s="16">
        <f>L335*'الافتراضات'!$B$4</f>
        <v/>
      </c>
      <c r="U335" s="16">
        <f>(S335+T335)*'الافتراضات'!$B$5</f>
        <v/>
      </c>
      <c r="V335" s="16">
        <f>S335+T335+U335</f>
        <v/>
      </c>
      <c r="W335" s="16">
        <f>MAX(1,E335*P335)</f>
        <v/>
      </c>
      <c r="X335" s="16">
        <f>E335*'الافتراضات'!$B$7</f>
        <v/>
      </c>
      <c r="Y335" s="16">
        <f>E335*'الافتراضات'!$B$8</f>
        <v/>
      </c>
      <c r="Z335" s="16">
        <f>E335/(1+'الافتراضات'!$B$6)</f>
        <v/>
      </c>
      <c r="AA335" s="16">
        <f>Z335-V335-W335-Q335-X335-Y335</f>
        <v/>
      </c>
      <c r="AB335" s="17">
        <f>IF(Z335=0,0,AA335/Z335)</f>
        <v/>
      </c>
      <c r="AC335" s="17">
        <f>IF(V335=0,0,AA335/V335)</f>
        <v/>
      </c>
      <c r="AD335" s="18">
        <f>R335*V335</f>
        <v/>
      </c>
      <c r="AE335" s="16">
        <f>IF(AB335&gt;='الافتراضات'!$B$9,IF(O335="لا","ابدأ به","جيد – يحتاج شهادة"),IF(AB335&gt;='الافتراضات'!$B$10,"مقبول","ضعيف"))</f>
        <v/>
      </c>
      <c r="AF335" s="16">
        <f>IF((1-'الافتراضات'!$B$9)/(1+'الافتراضات'!$B$6)-P335-'الافتراضات'!$B$7-'الافتراضات'!$B$8&lt;=0,0,(V335+Q335)/((1-'الافتراضات'!$B$9)/(1+'الافتراضات'!$B$6)-P335-'الافتراضات'!$B$7-'الافتراضات'!$B$8))</f>
        <v/>
      </c>
    </row>
    <row r="336">
      <c r="A336" s="10" t="n">
        <v>335</v>
      </c>
      <c r="B336" s="11" t="inlineStr">
        <is>
          <t>الرياضة واللياقة</t>
        </is>
      </c>
      <c r="C336" s="11" t="inlineStr">
        <is>
          <t>كرة طائرة</t>
        </is>
      </c>
      <c r="D336" s="11" t="inlineStr">
        <is>
          <t>volleyball</t>
        </is>
      </c>
      <c r="E336" s="12" t="n">
        <v>45</v>
      </c>
      <c r="F336" s="10" t="inlineStr">
        <is>
          <t>تقدير</t>
        </is>
      </c>
      <c r="G336" s="10" t="inlineStr">
        <is>
          <t>تقدير</t>
        </is>
      </c>
      <c r="H336" s="10" t="inlineStr">
        <is>
          <t>لم تُفحص</t>
        </is>
      </c>
      <c r="I336" s="10" t="inlineStr">
        <is>
          <t>لم يُفحص</t>
        </is>
      </c>
      <c r="J336" s="13" t="n">
        <v>4</v>
      </c>
      <c r="K336" s="11" t="inlineStr">
        <is>
          <t>تقدير</t>
        </is>
      </c>
      <c r="L336" s="14" t="n">
        <v>0.4</v>
      </c>
      <c r="M336" s="10" t="inlineStr">
        <is>
          <t>متوسط</t>
        </is>
      </c>
      <c r="N336" s="11" t="inlineStr">
        <is>
          <t>طوال السنة</t>
        </is>
      </c>
      <c r="O336" s="11" t="inlineStr">
        <is>
          <t>لا</t>
        </is>
      </c>
      <c r="P336" s="15" t="n">
        <v>0.13</v>
      </c>
      <c r="Q336" s="14" t="n">
        <v>9.5</v>
      </c>
      <c r="R336" s="14" t="n">
        <v>50</v>
      </c>
      <c r="S336" s="16">
        <f>J336*'الافتراضات'!$B$2*(1+'الافتراضات'!$B$3)</f>
        <v/>
      </c>
      <c r="T336" s="16">
        <f>L336*'الافتراضات'!$B$4</f>
        <v/>
      </c>
      <c r="U336" s="16">
        <f>(S336+T336)*'الافتراضات'!$B$5</f>
        <v/>
      </c>
      <c r="V336" s="16">
        <f>S336+T336+U336</f>
        <v/>
      </c>
      <c r="W336" s="16">
        <f>MAX(1,E336*P336)</f>
        <v/>
      </c>
      <c r="X336" s="16">
        <f>E336*'الافتراضات'!$B$7</f>
        <v/>
      </c>
      <c r="Y336" s="16">
        <f>E336*'الافتراضات'!$B$8</f>
        <v/>
      </c>
      <c r="Z336" s="16">
        <f>E336/(1+'الافتراضات'!$B$6)</f>
        <v/>
      </c>
      <c r="AA336" s="16">
        <f>Z336-V336-W336-Q336-X336-Y336</f>
        <v/>
      </c>
      <c r="AB336" s="17">
        <f>IF(Z336=0,0,AA336/Z336)</f>
        <v/>
      </c>
      <c r="AC336" s="17">
        <f>IF(V336=0,0,AA336/V336)</f>
        <v/>
      </c>
      <c r="AD336" s="18">
        <f>R336*V336</f>
        <v/>
      </c>
      <c r="AE336" s="16">
        <f>IF(AB336&gt;='الافتراضات'!$B$9,IF(O336="لا","ابدأ به","جيد – يحتاج شهادة"),IF(AB336&gt;='الافتراضات'!$B$10,"مقبول","ضعيف"))</f>
        <v/>
      </c>
      <c r="AF336" s="16">
        <f>IF((1-'الافتراضات'!$B$9)/(1+'الافتراضات'!$B$6)-P336-'الافتراضات'!$B$7-'الافتراضات'!$B$8&lt;=0,0,(V336+Q336)/((1-'الافتراضات'!$B$9)/(1+'الافتراضات'!$B$6)-P336-'الافتراضات'!$B$7-'الافتراضات'!$B$8))</f>
        <v/>
      </c>
    </row>
    <row r="337">
      <c r="A337" s="10" t="n">
        <v>336</v>
      </c>
      <c r="B337" s="11" t="inlineStr">
        <is>
          <t>الأدوات والصيانة</t>
        </is>
      </c>
      <c r="C337" s="11" t="inlineStr">
        <is>
          <t>طاولة عمل</t>
        </is>
      </c>
      <c r="D337" s="11" t="inlineStr">
        <is>
          <t>work table folding</t>
        </is>
      </c>
      <c r="E337" s="12" t="n">
        <v>249</v>
      </c>
      <c r="F337" s="10" t="inlineStr">
        <is>
          <t>تقدير</t>
        </is>
      </c>
      <c r="G337" s="10" t="inlineStr">
        <is>
          <t>تقدير</t>
        </is>
      </c>
      <c r="H337" s="10" t="inlineStr">
        <is>
          <t>لم تُفحص</t>
        </is>
      </c>
      <c r="I337" s="10" t="inlineStr">
        <is>
          <t>لم يُفحص</t>
        </is>
      </c>
      <c r="J337" s="13" t="n">
        <v>22</v>
      </c>
      <c r="K337" s="11" t="inlineStr">
        <is>
          <t>تقدير</t>
        </is>
      </c>
      <c r="L337" s="14" t="n">
        <v>6</v>
      </c>
      <c r="M337" s="10" t="inlineStr">
        <is>
          <t>كبير</t>
        </is>
      </c>
      <c r="N337" s="11" t="inlineStr">
        <is>
          <t>طوال السنة</t>
        </is>
      </c>
      <c r="O337" s="11" t="inlineStr">
        <is>
          <t>لا</t>
        </is>
      </c>
      <c r="P337" s="15" t="n">
        <v>0.14</v>
      </c>
      <c r="Q337" s="14" t="n">
        <v>19</v>
      </c>
      <c r="R337" s="14" t="n">
        <v>50</v>
      </c>
      <c r="S337" s="16">
        <f>J337*'الافتراضات'!$B$2*(1+'الافتراضات'!$B$3)</f>
        <v/>
      </c>
      <c r="T337" s="16">
        <f>L337*'الافتراضات'!$B$4</f>
        <v/>
      </c>
      <c r="U337" s="16">
        <f>(S337+T337)*'الافتراضات'!$B$5</f>
        <v/>
      </c>
      <c r="V337" s="16">
        <f>S337+T337+U337</f>
        <v/>
      </c>
      <c r="W337" s="16">
        <f>MAX(1,E337*P337)</f>
        <v/>
      </c>
      <c r="X337" s="16">
        <f>E337*'الافتراضات'!$B$7</f>
        <v/>
      </c>
      <c r="Y337" s="16">
        <f>E337*'الافتراضات'!$B$8</f>
        <v/>
      </c>
      <c r="Z337" s="16">
        <f>E337/(1+'الافتراضات'!$B$6)</f>
        <v/>
      </c>
      <c r="AA337" s="16">
        <f>Z337-V337-W337-Q337-X337-Y337</f>
        <v/>
      </c>
      <c r="AB337" s="17">
        <f>IF(Z337=0,0,AA337/Z337)</f>
        <v/>
      </c>
      <c r="AC337" s="17">
        <f>IF(V337=0,0,AA337/V337)</f>
        <v/>
      </c>
      <c r="AD337" s="18">
        <f>R337*V337</f>
        <v/>
      </c>
      <c r="AE337" s="16">
        <f>IF(AB337&gt;='الافتراضات'!$B$9,IF(O337="لا","ابدأ به","جيد – يحتاج شهادة"),IF(AB337&gt;='الافتراضات'!$B$10,"مقبول","ضعيف"))</f>
        <v/>
      </c>
      <c r="AF337" s="16">
        <f>IF((1-'الافتراضات'!$B$9)/(1+'الافتراضات'!$B$6)-P337-'الافتراضات'!$B$7-'الافتراضات'!$B$8&lt;=0,0,(V337+Q337)/((1-'الافتراضات'!$B$9)/(1+'الافتراضات'!$B$6)-P337-'الافتراضات'!$B$7-'الافتراضات'!$B$8))</f>
        <v/>
      </c>
    </row>
    <row r="338">
      <c r="A338" s="10" t="n">
        <v>337</v>
      </c>
      <c r="B338" s="11" t="inlineStr">
        <is>
          <t>إكسسوارات الجوال والإلكترونيات</t>
        </is>
      </c>
      <c r="C338" s="11" t="inlineStr">
        <is>
          <t>شريط إضاءة LED ذكي 5 متر</t>
        </is>
      </c>
      <c r="D338" s="11" t="inlineStr">
        <is>
          <t>smart LED strip lights 5m</t>
        </is>
      </c>
      <c r="E338" s="12" t="n">
        <v>43</v>
      </c>
      <c r="F338" s="10" t="inlineStr">
        <is>
          <t>تقدير</t>
        </is>
      </c>
      <c r="G338" s="10" t="inlineStr">
        <is>
          <t>تقدير</t>
        </is>
      </c>
      <c r="H338" s="10" t="inlineStr">
        <is>
          <t>لم تُفحص</t>
        </is>
      </c>
      <c r="I338" s="10" t="inlineStr">
        <is>
          <t>لم يُفحص</t>
        </is>
      </c>
      <c r="J338" s="13" t="n">
        <v>3.8</v>
      </c>
      <c r="K338" s="11" t="inlineStr">
        <is>
          <t>تقدير</t>
        </is>
      </c>
      <c r="L338" s="14" t="n">
        <v>0.3</v>
      </c>
      <c r="M338" s="10" t="inlineStr">
        <is>
          <t>صغير</t>
        </is>
      </c>
      <c r="N338" s="11" t="inlineStr">
        <is>
          <t>طوال السنة</t>
        </is>
      </c>
      <c r="O338" s="11" t="inlineStr">
        <is>
          <t>SABER</t>
        </is>
      </c>
      <c r="P338" s="15" t="n">
        <v>0.14</v>
      </c>
      <c r="Q338" s="14" t="n">
        <v>9.5</v>
      </c>
      <c r="R338" s="14" t="n">
        <v>50</v>
      </c>
      <c r="S338" s="16">
        <f>J338*'الافتراضات'!$B$2*(1+'الافتراضات'!$B$3)</f>
        <v/>
      </c>
      <c r="T338" s="16">
        <f>L338*'الافتراضات'!$B$4</f>
        <v/>
      </c>
      <c r="U338" s="16">
        <f>(S338+T338)*'الافتراضات'!$B$5</f>
        <v/>
      </c>
      <c r="V338" s="16">
        <f>S338+T338+U338</f>
        <v/>
      </c>
      <c r="W338" s="16">
        <f>MAX(1,E338*P338)</f>
        <v/>
      </c>
      <c r="X338" s="16">
        <f>E338*'الافتراضات'!$B$7</f>
        <v/>
      </c>
      <c r="Y338" s="16">
        <f>E338*'الافتراضات'!$B$8</f>
        <v/>
      </c>
      <c r="Z338" s="16">
        <f>E338/(1+'الافتراضات'!$B$6)</f>
        <v/>
      </c>
      <c r="AA338" s="16">
        <f>Z338-V338-W338-Q338-X338-Y338</f>
        <v/>
      </c>
      <c r="AB338" s="17">
        <f>IF(Z338=0,0,AA338/Z338)</f>
        <v/>
      </c>
      <c r="AC338" s="17">
        <f>IF(V338=0,0,AA338/V338)</f>
        <v/>
      </c>
      <c r="AD338" s="18">
        <f>R338*V338</f>
        <v/>
      </c>
      <c r="AE338" s="16">
        <f>IF(AB338&gt;='الافتراضات'!$B$9,IF(O338="لا","ابدأ به","جيد – يحتاج شهادة"),IF(AB338&gt;='الافتراضات'!$B$10,"مقبول","ضعيف"))</f>
        <v/>
      </c>
      <c r="AF338" s="16">
        <f>IF((1-'الافتراضات'!$B$9)/(1+'الافتراضات'!$B$6)-P338-'الافتراضات'!$B$7-'الافتراضات'!$B$8&lt;=0,0,(V338+Q338)/((1-'الافتراضات'!$B$9)/(1+'الافتراضات'!$B$6)-P338-'الافتراضات'!$B$7-'الافتراضات'!$B$8))</f>
        <v/>
      </c>
    </row>
    <row r="339">
      <c r="A339" s="10" t="n">
        <v>338</v>
      </c>
      <c r="B339" s="11" t="inlineStr">
        <is>
          <t>المنزل والمطبخ</t>
        </is>
      </c>
      <c r="C339" s="11" t="inlineStr">
        <is>
          <t>محمصة خبز شريحتين</t>
        </is>
      </c>
      <c r="D339" s="11" t="inlineStr">
        <is>
          <t>2 slice toaster</t>
        </is>
      </c>
      <c r="E339" s="12" t="n">
        <v>102</v>
      </c>
      <c r="F339" s="10" t="inlineStr">
        <is>
          <t>تقدير</t>
        </is>
      </c>
      <c r="G339" s="10" t="inlineStr">
        <is>
          <t>تقدير</t>
        </is>
      </c>
      <c r="H339" s="10" t="inlineStr">
        <is>
          <t>لم تُفحص</t>
        </is>
      </c>
      <c r="I339" s="10" t="inlineStr">
        <is>
          <t>لم يُفحص</t>
        </is>
      </c>
      <c r="J339" s="13" t="n">
        <v>9</v>
      </c>
      <c r="K339" s="11" t="inlineStr">
        <is>
          <t>تقدير</t>
        </is>
      </c>
      <c r="L339" s="14" t="n">
        <v>1.5</v>
      </c>
      <c r="M339" s="10" t="inlineStr">
        <is>
          <t>كبير</t>
        </is>
      </c>
      <c r="N339" s="11" t="inlineStr">
        <is>
          <t>طوال السنة</t>
        </is>
      </c>
      <c r="O339" s="11" t="inlineStr">
        <is>
          <t>SABER</t>
        </is>
      </c>
      <c r="P339" s="15" t="n">
        <v>0.15</v>
      </c>
      <c r="Q339" s="14" t="n">
        <v>15</v>
      </c>
      <c r="R339" s="14" t="n">
        <v>50</v>
      </c>
      <c r="S339" s="16">
        <f>J339*'الافتراضات'!$B$2*(1+'الافتراضات'!$B$3)</f>
        <v/>
      </c>
      <c r="T339" s="16">
        <f>L339*'الافتراضات'!$B$4</f>
        <v/>
      </c>
      <c r="U339" s="16">
        <f>(S339+T339)*'الافتراضات'!$B$5</f>
        <v/>
      </c>
      <c r="V339" s="16">
        <f>S339+T339+U339</f>
        <v/>
      </c>
      <c r="W339" s="16">
        <f>MAX(1,E339*P339)</f>
        <v/>
      </c>
      <c r="X339" s="16">
        <f>E339*'الافتراضات'!$B$7</f>
        <v/>
      </c>
      <c r="Y339" s="16">
        <f>E339*'الافتراضات'!$B$8</f>
        <v/>
      </c>
      <c r="Z339" s="16">
        <f>E339/(1+'الافتراضات'!$B$6)</f>
        <v/>
      </c>
      <c r="AA339" s="16">
        <f>Z339-V339-W339-Q339-X339-Y339</f>
        <v/>
      </c>
      <c r="AB339" s="17">
        <f>IF(Z339=0,0,AA339/Z339)</f>
        <v/>
      </c>
      <c r="AC339" s="17">
        <f>IF(V339=0,0,AA339/V339)</f>
        <v/>
      </c>
      <c r="AD339" s="18">
        <f>R339*V339</f>
        <v/>
      </c>
      <c r="AE339" s="16">
        <f>IF(AB339&gt;='الافتراضات'!$B$9,IF(O339="لا","ابدأ به","جيد – يحتاج شهادة"),IF(AB339&gt;='الافتراضات'!$B$10,"مقبول","ضعيف"))</f>
        <v/>
      </c>
      <c r="AF339" s="16">
        <f>IF((1-'الافتراضات'!$B$9)/(1+'الافتراضات'!$B$6)-P339-'الافتراضات'!$B$7-'الافتراضات'!$B$8&lt;=0,0,(V339+Q339)/((1-'الافتراضات'!$B$9)/(1+'الافتراضات'!$B$6)-P339-'الافتراضات'!$B$7-'الافتراضات'!$B$8))</f>
        <v/>
      </c>
    </row>
    <row r="340">
      <c r="A340" s="10" t="n">
        <v>339</v>
      </c>
      <c r="B340" s="11" t="inlineStr">
        <is>
          <t>إكسسوارات الجوال والإلكترونيات</t>
        </is>
      </c>
      <c r="C340" s="11" t="inlineStr">
        <is>
          <t>حامل لابتوب ألمنيوم قابل للتعديل</t>
        </is>
      </c>
      <c r="D340" s="11" t="inlineStr">
        <is>
          <t>adjustable aluminum laptop stand</t>
        </is>
      </c>
      <c r="E340" s="12" t="n">
        <v>57</v>
      </c>
      <c r="F340" s="10" t="inlineStr">
        <is>
          <t>تقدير</t>
        </is>
      </c>
      <c r="G340" s="10" t="inlineStr">
        <is>
          <t>تقدير</t>
        </is>
      </c>
      <c r="H340" s="10" t="inlineStr">
        <is>
          <t>لم تُفحص</t>
        </is>
      </c>
      <c r="I340" s="10" t="inlineStr">
        <is>
          <t>لم يُفحص</t>
        </is>
      </c>
      <c r="J340" s="13" t="n">
        <v>5</v>
      </c>
      <c r="K340" s="11" t="inlineStr">
        <is>
          <t>تقدير</t>
        </is>
      </c>
      <c r="L340" s="14" t="n">
        <v>0.8</v>
      </c>
      <c r="M340" s="10" t="inlineStr">
        <is>
          <t>متوسط</t>
        </is>
      </c>
      <c r="N340" s="11" t="inlineStr">
        <is>
          <t>طوال السنة</t>
        </is>
      </c>
      <c r="O340" s="11" t="inlineStr">
        <is>
          <t>لا</t>
        </is>
      </c>
      <c r="P340" s="15" t="n">
        <v>0.13</v>
      </c>
      <c r="Q340" s="14" t="n">
        <v>10</v>
      </c>
      <c r="R340" s="14" t="n">
        <v>50</v>
      </c>
      <c r="S340" s="16">
        <f>J340*'الافتراضات'!$B$2*(1+'الافتراضات'!$B$3)</f>
        <v/>
      </c>
      <c r="T340" s="16">
        <f>L340*'الافتراضات'!$B$4</f>
        <v/>
      </c>
      <c r="U340" s="16">
        <f>(S340+T340)*'الافتراضات'!$B$5</f>
        <v/>
      </c>
      <c r="V340" s="16">
        <f>S340+T340+U340</f>
        <v/>
      </c>
      <c r="W340" s="16">
        <f>MAX(1,E340*P340)</f>
        <v/>
      </c>
      <c r="X340" s="16">
        <f>E340*'الافتراضات'!$B$7</f>
        <v/>
      </c>
      <c r="Y340" s="16">
        <f>E340*'الافتراضات'!$B$8</f>
        <v/>
      </c>
      <c r="Z340" s="16">
        <f>E340/(1+'الافتراضات'!$B$6)</f>
        <v/>
      </c>
      <c r="AA340" s="16">
        <f>Z340-V340-W340-Q340-X340-Y340</f>
        <v/>
      </c>
      <c r="AB340" s="17">
        <f>IF(Z340=0,0,AA340/Z340)</f>
        <v/>
      </c>
      <c r="AC340" s="17">
        <f>IF(V340=0,0,AA340/V340)</f>
        <v/>
      </c>
      <c r="AD340" s="18">
        <f>R340*V340</f>
        <v/>
      </c>
      <c r="AE340" s="16">
        <f>IF(AB340&gt;='الافتراضات'!$B$9,IF(O340="لا","ابدأ به","جيد – يحتاج شهادة"),IF(AB340&gt;='الافتراضات'!$B$10,"مقبول","ضعيف"))</f>
        <v/>
      </c>
      <c r="AF340" s="16">
        <f>IF((1-'الافتراضات'!$B$9)/(1+'الافتراضات'!$B$6)-P340-'الافتراضات'!$B$7-'الافتراضات'!$B$8&lt;=0,0,(V340+Q340)/((1-'الافتراضات'!$B$9)/(1+'الافتراضات'!$B$6)-P340-'الافتراضات'!$B$7-'الافتراضات'!$B$8))</f>
        <v/>
      </c>
    </row>
    <row r="341">
      <c r="A341" s="10" t="n">
        <v>340</v>
      </c>
      <c r="B341" s="11" t="inlineStr">
        <is>
          <t>التنظيف والغسيل</t>
        </is>
      </c>
      <c r="C341" s="11" t="inlineStr">
        <is>
          <t>فرشاة تنظيف الأسطح</t>
        </is>
      </c>
      <c r="D341" s="11" t="inlineStr">
        <is>
          <t>scrub brush set</t>
        </is>
      </c>
      <c r="E341" s="12" t="n">
        <v>25</v>
      </c>
      <c r="F341" s="10" t="inlineStr">
        <is>
          <t>تقدير</t>
        </is>
      </c>
      <c r="G341" s="10" t="inlineStr">
        <is>
          <t>تقدير</t>
        </is>
      </c>
      <c r="H341" s="10" t="inlineStr">
        <is>
          <t>لم تُفحص</t>
        </is>
      </c>
      <c r="I341" s="10" t="inlineStr">
        <is>
          <t>لم يُفحص</t>
        </is>
      </c>
      <c r="J341" s="13" t="n">
        <v>1.8</v>
      </c>
      <c r="K341" s="11" t="inlineStr">
        <is>
          <t>تقدير</t>
        </is>
      </c>
      <c r="L341" s="14" t="n">
        <v>0.3</v>
      </c>
      <c r="M341" s="10" t="inlineStr">
        <is>
          <t>صغير</t>
        </is>
      </c>
      <c r="N341" s="11" t="inlineStr">
        <is>
          <t>طوال السنة</t>
        </is>
      </c>
      <c r="O341" s="11" t="inlineStr">
        <is>
          <t>لا</t>
        </is>
      </c>
      <c r="P341" s="15" t="n">
        <v>0.09</v>
      </c>
      <c r="Q341" s="14" t="n">
        <v>7.5</v>
      </c>
      <c r="R341" s="14" t="n">
        <v>50</v>
      </c>
      <c r="S341" s="16">
        <f>J341*'الافتراضات'!$B$2*(1+'الافتراضات'!$B$3)</f>
        <v/>
      </c>
      <c r="T341" s="16">
        <f>L341*'الافتراضات'!$B$4</f>
        <v/>
      </c>
      <c r="U341" s="16">
        <f>(S341+T341)*'الافتراضات'!$B$5</f>
        <v/>
      </c>
      <c r="V341" s="16">
        <f>S341+T341+U341</f>
        <v/>
      </c>
      <c r="W341" s="16">
        <f>MAX(1,E341*P341)</f>
        <v/>
      </c>
      <c r="X341" s="16">
        <f>E341*'الافتراضات'!$B$7</f>
        <v/>
      </c>
      <c r="Y341" s="16">
        <f>E341*'الافتراضات'!$B$8</f>
        <v/>
      </c>
      <c r="Z341" s="16">
        <f>E341/(1+'الافتراضات'!$B$6)</f>
        <v/>
      </c>
      <c r="AA341" s="16">
        <f>Z341-V341-W341-Q341-X341-Y341</f>
        <v/>
      </c>
      <c r="AB341" s="17">
        <f>IF(Z341=0,0,AA341/Z341)</f>
        <v/>
      </c>
      <c r="AC341" s="17">
        <f>IF(V341=0,0,AA341/V341)</f>
        <v/>
      </c>
      <c r="AD341" s="18">
        <f>R341*V341</f>
        <v/>
      </c>
      <c r="AE341" s="16">
        <f>IF(AB341&gt;='الافتراضات'!$B$9,IF(O341="لا","ابدأ به","جيد – يحتاج شهادة"),IF(AB341&gt;='الافتراضات'!$B$10,"مقبول","ضعيف"))</f>
        <v/>
      </c>
      <c r="AF341" s="16">
        <f>IF((1-'الافتراضات'!$B$9)/(1+'الافتراضات'!$B$6)-P341-'الافتراضات'!$B$7-'الافتراضات'!$B$8&lt;=0,0,(V341+Q341)/((1-'الافتراضات'!$B$9)/(1+'الافتراضات'!$B$6)-P341-'الافتراضات'!$B$7-'الافتراضات'!$B$8))</f>
        <v/>
      </c>
    </row>
    <row r="342">
      <c r="A342" s="10" t="n">
        <v>341</v>
      </c>
      <c r="B342" s="11" t="inlineStr">
        <is>
          <t>المنزل والمطبخ</t>
        </is>
      </c>
      <c r="C342" s="11" t="inlineStr">
        <is>
          <t>شواية كهربائية صغيرة</t>
        </is>
      </c>
      <c r="D342" s="11" t="inlineStr">
        <is>
          <t>electric grill indoor</t>
        </is>
      </c>
      <c r="E342" s="12" t="n">
        <v>136</v>
      </c>
      <c r="F342" s="10" t="inlineStr">
        <is>
          <t>تقدير</t>
        </is>
      </c>
      <c r="G342" s="10" t="inlineStr">
        <is>
          <t>تقدير</t>
        </is>
      </c>
      <c r="H342" s="10" t="inlineStr">
        <is>
          <t>لم تُفحص</t>
        </is>
      </c>
      <c r="I342" s="10" t="inlineStr">
        <is>
          <t>لم يُفحص</t>
        </is>
      </c>
      <c r="J342" s="13" t="n">
        <v>12</v>
      </c>
      <c r="K342" s="11" t="inlineStr">
        <is>
          <t>تقدير</t>
        </is>
      </c>
      <c r="L342" s="14" t="n">
        <v>2.5</v>
      </c>
      <c r="M342" s="10" t="inlineStr">
        <is>
          <t>كبير</t>
        </is>
      </c>
      <c r="N342" s="11" t="inlineStr">
        <is>
          <t>طوال السنة</t>
        </is>
      </c>
      <c r="O342" s="11" t="inlineStr">
        <is>
          <t>SABER</t>
        </is>
      </c>
      <c r="P342" s="15" t="n">
        <v>0.15</v>
      </c>
      <c r="Q342" s="14" t="n">
        <v>16</v>
      </c>
      <c r="R342" s="14" t="n">
        <v>50</v>
      </c>
      <c r="S342" s="16">
        <f>J342*'الافتراضات'!$B$2*(1+'الافتراضات'!$B$3)</f>
        <v/>
      </c>
      <c r="T342" s="16">
        <f>L342*'الافتراضات'!$B$4</f>
        <v/>
      </c>
      <c r="U342" s="16">
        <f>(S342+T342)*'الافتراضات'!$B$5</f>
        <v/>
      </c>
      <c r="V342" s="16">
        <f>S342+T342+U342</f>
        <v/>
      </c>
      <c r="W342" s="16">
        <f>MAX(1,E342*P342)</f>
        <v/>
      </c>
      <c r="X342" s="16">
        <f>E342*'الافتراضات'!$B$7</f>
        <v/>
      </c>
      <c r="Y342" s="16">
        <f>E342*'الافتراضات'!$B$8</f>
        <v/>
      </c>
      <c r="Z342" s="16">
        <f>E342/(1+'الافتراضات'!$B$6)</f>
        <v/>
      </c>
      <c r="AA342" s="16">
        <f>Z342-V342-W342-Q342-X342-Y342</f>
        <v/>
      </c>
      <c r="AB342" s="17">
        <f>IF(Z342=0,0,AA342/Z342)</f>
        <v/>
      </c>
      <c r="AC342" s="17">
        <f>IF(V342=0,0,AA342/V342)</f>
        <v/>
      </c>
      <c r="AD342" s="18">
        <f>R342*V342</f>
        <v/>
      </c>
      <c r="AE342" s="16">
        <f>IF(AB342&gt;='الافتراضات'!$B$9,IF(O342="لا","ابدأ به","جيد – يحتاج شهادة"),IF(AB342&gt;='الافتراضات'!$B$10,"مقبول","ضعيف"))</f>
        <v/>
      </c>
      <c r="AF342" s="16">
        <f>IF((1-'الافتراضات'!$B$9)/(1+'الافتراضات'!$B$6)-P342-'الافتراضات'!$B$7-'الافتراضات'!$B$8&lt;=0,0,(V342+Q342)/((1-'الافتراضات'!$B$9)/(1+'الافتراضات'!$B$6)-P342-'الافتراضات'!$B$7-'الافتراضات'!$B$8))</f>
        <v/>
      </c>
    </row>
    <row r="343">
      <c r="A343" s="10" t="n">
        <v>342</v>
      </c>
      <c r="B343" s="11" t="inlineStr">
        <is>
          <t>المنزل والمطبخ</t>
        </is>
      </c>
      <c r="C343" s="11" t="inlineStr">
        <is>
          <t>سلة مهملات بغطاء ذكية</t>
        </is>
      </c>
      <c r="D343" s="11" t="inlineStr">
        <is>
          <t>automatic trash can sensor</t>
        </is>
      </c>
      <c r="E343" s="12" t="n">
        <v>113</v>
      </c>
      <c r="F343" s="10" t="inlineStr">
        <is>
          <t>تقدير</t>
        </is>
      </c>
      <c r="G343" s="10" t="inlineStr">
        <is>
          <t>تقدير</t>
        </is>
      </c>
      <c r="H343" s="10" t="inlineStr">
        <is>
          <t>لم تُفحص</t>
        </is>
      </c>
      <c r="I343" s="10" t="inlineStr">
        <is>
          <t>لم يُفحص</t>
        </is>
      </c>
      <c r="J343" s="13" t="n">
        <v>10</v>
      </c>
      <c r="K343" s="11" t="inlineStr">
        <is>
          <t>تقدير</t>
        </is>
      </c>
      <c r="L343" s="14" t="n">
        <v>2</v>
      </c>
      <c r="M343" s="10" t="inlineStr">
        <is>
          <t>كبير</t>
        </is>
      </c>
      <c r="N343" s="11" t="inlineStr">
        <is>
          <t>طوال السنة</t>
        </is>
      </c>
      <c r="O343" s="11" t="inlineStr">
        <is>
          <t>SABER + بطارية ليثيوم</t>
        </is>
      </c>
      <c r="P343" s="15" t="n">
        <v>0.14</v>
      </c>
      <c r="Q343" s="14" t="n">
        <v>15</v>
      </c>
      <c r="R343" s="14" t="n">
        <v>50</v>
      </c>
      <c r="S343" s="16">
        <f>J343*'الافتراضات'!$B$2*(1+'الافتراضات'!$B$3)</f>
        <v/>
      </c>
      <c r="T343" s="16">
        <f>L343*'الافتراضات'!$B$4</f>
        <v/>
      </c>
      <c r="U343" s="16">
        <f>(S343+T343)*'الافتراضات'!$B$5</f>
        <v/>
      </c>
      <c r="V343" s="16">
        <f>S343+T343+U343</f>
        <v/>
      </c>
      <c r="W343" s="16">
        <f>MAX(1,E343*P343)</f>
        <v/>
      </c>
      <c r="X343" s="16">
        <f>E343*'الافتراضات'!$B$7</f>
        <v/>
      </c>
      <c r="Y343" s="16">
        <f>E343*'الافتراضات'!$B$8</f>
        <v/>
      </c>
      <c r="Z343" s="16">
        <f>E343/(1+'الافتراضات'!$B$6)</f>
        <v/>
      </c>
      <c r="AA343" s="16">
        <f>Z343-V343-W343-Q343-X343-Y343</f>
        <v/>
      </c>
      <c r="AB343" s="17">
        <f>IF(Z343=0,0,AA343/Z343)</f>
        <v/>
      </c>
      <c r="AC343" s="17">
        <f>IF(V343=0,0,AA343/V343)</f>
        <v/>
      </c>
      <c r="AD343" s="18">
        <f>R343*V343</f>
        <v/>
      </c>
      <c r="AE343" s="16">
        <f>IF(AB343&gt;='الافتراضات'!$B$9,IF(O343="لا","ابدأ به","جيد – يحتاج شهادة"),IF(AB343&gt;='الافتراضات'!$B$10,"مقبول","ضعيف"))</f>
        <v/>
      </c>
      <c r="AF343" s="16">
        <f>IF((1-'الافتراضات'!$B$9)/(1+'الافتراضات'!$B$6)-P343-'الافتراضات'!$B$7-'الافتراضات'!$B$8&lt;=0,0,(V343+Q343)/((1-'الافتراضات'!$B$9)/(1+'الافتراضات'!$B$6)-P343-'الافتراضات'!$B$7-'الافتراضات'!$B$8))</f>
        <v/>
      </c>
    </row>
    <row r="344">
      <c r="A344" s="10" t="n">
        <v>343</v>
      </c>
      <c r="B344" s="11" t="inlineStr">
        <is>
          <t>الإضاءة والديكور</t>
        </is>
      </c>
      <c r="C344" s="11" t="inlineStr">
        <is>
          <t>مرآة ديكور مستديرة</t>
        </is>
      </c>
      <c r="D344" s="11" t="inlineStr">
        <is>
          <t>round wall mirror</t>
        </is>
      </c>
      <c r="E344" s="12" t="n">
        <v>113</v>
      </c>
      <c r="F344" s="10" t="inlineStr">
        <is>
          <t>تقدير</t>
        </is>
      </c>
      <c r="G344" s="10" t="inlineStr">
        <is>
          <t>تقدير</t>
        </is>
      </c>
      <c r="H344" s="10" t="inlineStr">
        <is>
          <t>لم تُفحص</t>
        </is>
      </c>
      <c r="I344" s="10" t="inlineStr">
        <is>
          <t>لم يُفحص</t>
        </is>
      </c>
      <c r="J344" s="13" t="n">
        <v>10</v>
      </c>
      <c r="K344" s="11" t="inlineStr">
        <is>
          <t>تقدير</t>
        </is>
      </c>
      <c r="L344" s="14" t="n">
        <v>2</v>
      </c>
      <c r="M344" s="10" t="inlineStr">
        <is>
          <t>كبير</t>
        </is>
      </c>
      <c r="N344" s="11" t="inlineStr">
        <is>
          <t>طوال السنة</t>
        </is>
      </c>
      <c r="O344" s="11" t="inlineStr">
        <is>
          <t>لا</t>
        </is>
      </c>
      <c r="P344" s="15" t="n">
        <v>0.14</v>
      </c>
      <c r="Q344" s="14" t="n">
        <v>15</v>
      </c>
      <c r="R344" s="14" t="n">
        <v>50</v>
      </c>
      <c r="S344" s="16">
        <f>J344*'الافتراضات'!$B$2*(1+'الافتراضات'!$B$3)</f>
        <v/>
      </c>
      <c r="T344" s="16">
        <f>L344*'الافتراضات'!$B$4</f>
        <v/>
      </c>
      <c r="U344" s="16">
        <f>(S344+T344)*'الافتراضات'!$B$5</f>
        <v/>
      </c>
      <c r="V344" s="16">
        <f>S344+T344+U344</f>
        <v/>
      </c>
      <c r="W344" s="16">
        <f>MAX(1,E344*P344)</f>
        <v/>
      </c>
      <c r="X344" s="16">
        <f>E344*'الافتراضات'!$B$7</f>
        <v/>
      </c>
      <c r="Y344" s="16">
        <f>E344*'الافتراضات'!$B$8</f>
        <v/>
      </c>
      <c r="Z344" s="16">
        <f>E344/(1+'الافتراضات'!$B$6)</f>
        <v/>
      </c>
      <c r="AA344" s="16">
        <f>Z344-V344-W344-Q344-X344-Y344</f>
        <v/>
      </c>
      <c r="AB344" s="17">
        <f>IF(Z344=0,0,AA344/Z344)</f>
        <v/>
      </c>
      <c r="AC344" s="17">
        <f>IF(V344=0,0,AA344/V344)</f>
        <v/>
      </c>
      <c r="AD344" s="18">
        <f>R344*V344</f>
        <v/>
      </c>
      <c r="AE344" s="16">
        <f>IF(AB344&gt;='الافتراضات'!$B$9,IF(O344="لا","ابدأ به","جيد – يحتاج شهادة"),IF(AB344&gt;='الافتراضات'!$B$10,"مقبول","ضعيف"))</f>
        <v/>
      </c>
      <c r="AF344" s="16">
        <f>IF((1-'الافتراضات'!$B$9)/(1+'الافتراضات'!$B$6)-P344-'الافتراضات'!$B$7-'الافتراضات'!$B$8&lt;=0,0,(V344+Q344)/((1-'الافتراضات'!$B$9)/(1+'الافتراضات'!$B$6)-P344-'الافتراضات'!$B$7-'الافتراضات'!$B$8))</f>
        <v/>
      </c>
    </row>
    <row r="345">
      <c r="A345" s="10" t="n">
        <v>344</v>
      </c>
      <c r="B345" s="11" t="inlineStr">
        <is>
          <t>المكتب والدراسة</t>
        </is>
      </c>
      <c r="C345" s="11" t="inlineStr">
        <is>
          <t>مكتب ألعاب RGB</t>
        </is>
      </c>
      <c r="D345" s="11" t="inlineStr">
        <is>
          <t>gaming desk RGB</t>
        </is>
      </c>
      <c r="E345" s="12" t="n">
        <v>622</v>
      </c>
      <c r="F345" s="10" t="inlineStr">
        <is>
          <t>تقدير</t>
        </is>
      </c>
      <c r="G345" s="10" t="inlineStr">
        <is>
          <t>تقدير</t>
        </is>
      </c>
      <c r="H345" s="10" t="inlineStr">
        <is>
          <t>لم تُفحص</t>
        </is>
      </c>
      <c r="I345" s="10" t="inlineStr">
        <is>
          <t>لم يُفحص</t>
        </is>
      </c>
      <c r="J345" s="13" t="n">
        <v>55</v>
      </c>
      <c r="K345" s="11" t="inlineStr">
        <is>
          <t>تقدير</t>
        </is>
      </c>
      <c r="L345" s="14" t="n">
        <v>18</v>
      </c>
      <c r="M345" s="10" t="inlineStr">
        <is>
          <t>كبير</t>
        </is>
      </c>
      <c r="N345" s="11" t="inlineStr">
        <is>
          <t>طوال السنة</t>
        </is>
      </c>
      <c r="O345" s="11" t="inlineStr">
        <is>
          <t>لا</t>
        </is>
      </c>
      <c r="P345" s="15" t="n">
        <v>0.13</v>
      </c>
      <c r="Q345" s="14" t="n">
        <v>31</v>
      </c>
      <c r="R345" s="14" t="n">
        <v>50</v>
      </c>
      <c r="S345" s="16">
        <f>J345*'الافتراضات'!$B$2*(1+'الافتراضات'!$B$3)</f>
        <v/>
      </c>
      <c r="T345" s="16">
        <f>L345*'الافتراضات'!$B$4</f>
        <v/>
      </c>
      <c r="U345" s="16">
        <f>(S345+T345)*'الافتراضات'!$B$5</f>
        <v/>
      </c>
      <c r="V345" s="16">
        <f>S345+T345+U345</f>
        <v/>
      </c>
      <c r="W345" s="16">
        <f>MAX(1,E345*P345)</f>
        <v/>
      </c>
      <c r="X345" s="16">
        <f>E345*'الافتراضات'!$B$7</f>
        <v/>
      </c>
      <c r="Y345" s="16">
        <f>E345*'الافتراضات'!$B$8</f>
        <v/>
      </c>
      <c r="Z345" s="16">
        <f>E345/(1+'الافتراضات'!$B$6)</f>
        <v/>
      </c>
      <c r="AA345" s="16">
        <f>Z345-V345-W345-Q345-X345-Y345</f>
        <v/>
      </c>
      <c r="AB345" s="17">
        <f>IF(Z345=0,0,AA345/Z345)</f>
        <v/>
      </c>
      <c r="AC345" s="17">
        <f>IF(V345=0,0,AA345/V345)</f>
        <v/>
      </c>
      <c r="AD345" s="18">
        <f>R345*V345</f>
        <v/>
      </c>
      <c r="AE345" s="16">
        <f>IF(AB345&gt;='الافتراضات'!$B$9,IF(O345="لا","ابدأ به","جيد – يحتاج شهادة"),IF(AB345&gt;='الافتراضات'!$B$10,"مقبول","ضعيف"))</f>
        <v/>
      </c>
      <c r="AF345" s="16">
        <f>IF((1-'الافتراضات'!$B$9)/(1+'الافتراضات'!$B$6)-P345-'الافتراضات'!$B$7-'الافتراضات'!$B$8&lt;=0,0,(V345+Q345)/((1-'الافتراضات'!$B$9)/(1+'الافتراضات'!$B$6)-P345-'الافتراضات'!$B$7-'الافتراضات'!$B$8))</f>
        <v/>
      </c>
    </row>
    <row r="346">
      <c r="A346" s="10" t="n">
        <v>345</v>
      </c>
      <c r="B346" s="11" t="inlineStr">
        <is>
          <t>التنظيف والغسيل</t>
        </is>
      </c>
      <c r="C346" s="11" t="inlineStr">
        <is>
          <t>ممسحة أرضيات دوارة</t>
        </is>
      </c>
      <c r="D346" s="11" t="inlineStr">
        <is>
          <t>spin mop bucket</t>
        </is>
      </c>
      <c r="E346" s="12" t="n">
        <v>124</v>
      </c>
      <c r="F346" s="10" t="inlineStr">
        <is>
          <t>تقدير</t>
        </is>
      </c>
      <c r="G346" s="10" t="inlineStr">
        <is>
          <t>تقدير</t>
        </is>
      </c>
      <c r="H346" s="10" t="inlineStr">
        <is>
          <t>لم تُفحص</t>
        </is>
      </c>
      <c r="I346" s="10" t="inlineStr">
        <is>
          <t>لم يُفحص</t>
        </is>
      </c>
      <c r="J346" s="13" t="n">
        <v>11</v>
      </c>
      <c r="K346" s="11" t="inlineStr">
        <is>
          <t>تقدير</t>
        </is>
      </c>
      <c r="L346" s="14" t="n">
        <v>3</v>
      </c>
      <c r="M346" s="10" t="inlineStr">
        <is>
          <t>كبير</t>
        </is>
      </c>
      <c r="N346" s="11" t="inlineStr">
        <is>
          <t>طوال السنة</t>
        </is>
      </c>
      <c r="O346" s="11" t="inlineStr">
        <is>
          <t>لا</t>
        </is>
      </c>
      <c r="P346" s="15" t="n">
        <v>0.09</v>
      </c>
      <c r="Q346" s="14" t="n">
        <v>16</v>
      </c>
      <c r="R346" s="14" t="n">
        <v>50</v>
      </c>
      <c r="S346" s="16">
        <f>J346*'الافتراضات'!$B$2*(1+'الافتراضات'!$B$3)</f>
        <v/>
      </c>
      <c r="T346" s="16">
        <f>L346*'الافتراضات'!$B$4</f>
        <v/>
      </c>
      <c r="U346" s="16">
        <f>(S346+T346)*'الافتراضات'!$B$5</f>
        <v/>
      </c>
      <c r="V346" s="16">
        <f>S346+T346+U346</f>
        <v/>
      </c>
      <c r="W346" s="16">
        <f>MAX(1,E346*P346)</f>
        <v/>
      </c>
      <c r="X346" s="16">
        <f>E346*'الافتراضات'!$B$7</f>
        <v/>
      </c>
      <c r="Y346" s="16">
        <f>E346*'الافتراضات'!$B$8</f>
        <v/>
      </c>
      <c r="Z346" s="16">
        <f>E346/(1+'الافتراضات'!$B$6)</f>
        <v/>
      </c>
      <c r="AA346" s="16">
        <f>Z346-V346-W346-Q346-X346-Y346</f>
        <v/>
      </c>
      <c r="AB346" s="17">
        <f>IF(Z346=0,0,AA346/Z346)</f>
        <v/>
      </c>
      <c r="AC346" s="17">
        <f>IF(V346=0,0,AA346/V346)</f>
        <v/>
      </c>
      <c r="AD346" s="18">
        <f>R346*V346</f>
        <v/>
      </c>
      <c r="AE346" s="16">
        <f>IF(AB346&gt;='الافتراضات'!$B$9,IF(O346="لا","ابدأ به","جيد – يحتاج شهادة"),IF(AB346&gt;='الافتراضات'!$B$10,"مقبول","ضعيف"))</f>
        <v/>
      </c>
      <c r="AF346" s="16">
        <f>IF((1-'الافتراضات'!$B$9)/(1+'الافتراضات'!$B$6)-P346-'الافتراضات'!$B$7-'الافتراضات'!$B$8&lt;=0,0,(V346+Q346)/((1-'الافتراضات'!$B$9)/(1+'الافتراضات'!$B$6)-P346-'الافتراضات'!$B$7-'الافتراضات'!$B$8))</f>
        <v/>
      </c>
    </row>
    <row r="347">
      <c r="A347" s="10" t="n">
        <v>346</v>
      </c>
      <c r="B347" s="11" t="inlineStr">
        <is>
          <t>المنزل والمطبخ</t>
        </is>
      </c>
      <c r="C347" s="11" t="inlineStr">
        <is>
          <t>خلاط يدوي كهربائي</t>
        </is>
      </c>
      <c r="D347" s="11" t="inlineStr">
        <is>
          <t>electric hand blender stick</t>
        </is>
      </c>
      <c r="E347" s="12" t="n">
        <v>79</v>
      </c>
      <c r="F347" s="10" t="inlineStr">
        <is>
          <t>تقدير</t>
        </is>
      </c>
      <c r="G347" s="10" t="inlineStr">
        <is>
          <t>تقدير</t>
        </is>
      </c>
      <c r="H347" s="10" t="inlineStr">
        <is>
          <t>لم تُفحص</t>
        </is>
      </c>
      <c r="I347" s="10" t="inlineStr">
        <is>
          <t>لم يُفحص</t>
        </is>
      </c>
      <c r="J347" s="13" t="n">
        <v>7</v>
      </c>
      <c r="K347" s="11" t="inlineStr">
        <is>
          <t>تقدير</t>
        </is>
      </c>
      <c r="L347" s="14" t="n">
        <v>1.2</v>
      </c>
      <c r="M347" s="10" t="inlineStr">
        <is>
          <t>متوسط</t>
        </is>
      </c>
      <c r="N347" s="11" t="inlineStr">
        <is>
          <t>طوال السنة</t>
        </is>
      </c>
      <c r="O347" s="11" t="inlineStr">
        <is>
          <t>SABER</t>
        </is>
      </c>
      <c r="P347" s="15" t="n">
        <v>0.15</v>
      </c>
      <c r="Q347" s="14" t="n">
        <v>11.5</v>
      </c>
      <c r="R347" s="14" t="n">
        <v>50</v>
      </c>
      <c r="S347" s="16">
        <f>J347*'الافتراضات'!$B$2*(1+'الافتراضات'!$B$3)</f>
        <v/>
      </c>
      <c r="T347" s="16">
        <f>L347*'الافتراضات'!$B$4</f>
        <v/>
      </c>
      <c r="U347" s="16">
        <f>(S347+T347)*'الافتراضات'!$B$5</f>
        <v/>
      </c>
      <c r="V347" s="16">
        <f>S347+T347+U347</f>
        <v/>
      </c>
      <c r="W347" s="16">
        <f>MAX(1,E347*P347)</f>
        <v/>
      </c>
      <c r="X347" s="16">
        <f>E347*'الافتراضات'!$B$7</f>
        <v/>
      </c>
      <c r="Y347" s="16">
        <f>E347*'الافتراضات'!$B$8</f>
        <v/>
      </c>
      <c r="Z347" s="16">
        <f>E347/(1+'الافتراضات'!$B$6)</f>
        <v/>
      </c>
      <c r="AA347" s="16">
        <f>Z347-V347-W347-Q347-X347-Y347</f>
        <v/>
      </c>
      <c r="AB347" s="17">
        <f>IF(Z347=0,0,AA347/Z347)</f>
        <v/>
      </c>
      <c r="AC347" s="17">
        <f>IF(V347=0,0,AA347/V347)</f>
        <v/>
      </c>
      <c r="AD347" s="18">
        <f>R347*V347</f>
        <v/>
      </c>
      <c r="AE347" s="16">
        <f>IF(AB347&gt;='الافتراضات'!$B$9,IF(O347="لا","ابدأ به","جيد – يحتاج شهادة"),IF(AB347&gt;='الافتراضات'!$B$10,"مقبول","ضعيف"))</f>
        <v/>
      </c>
      <c r="AF347" s="16">
        <f>IF((1-'الافتراضات'!$B$9)/(1+'الافتراضات'!$B$6)-P347-'الافتراضات'!$B$7-'الافتراضات'!$B$8&lt;=0,0,(V347+Q347)/((1-'الافتراضات'!$B$9)/(1+'الافتراضات'!$B$6)-P347-'الافتراضات'!$B$7-'الافتراضات'!$B$8))</f>
        <v/>
      </c>
    </row>
    <row r="348">
      <c r="A348" s="10" t="n">
        <v>347</v>
      </c>
      <c r="B348" s="11" t="inlineStr">
        <is>
          <t>التخييم والسفر</t>
        </is>
      </c>
      <c r="C348" s="11" t="inlineStr">
        <is>
          <t>مظلة شاطئ</t>
        </is>
      </c>
      <c r="D348" s="11" t="inlineStr">
        <is>
          <t>beach umbrella</t>
        </is>
      </c>
      <c r="E348" s="12" t="n">
        <v>102</v>
      </c>
      <c r="F348" s="10" t="inlineStr">
        <is>
          <t>تقدير</t>
        </is>
      </c>
      <c r="G348" s="10" t="inlineStr">
        <is>
          <t>تقدير</t>
        </is>
      </c>
      <c r="H348" s="10" t="inlineStr">
        <is>
          <t>لم تُفحص</t>
        </is>
      </c>
      <c r="I348" s="10" t="inlineStr">
        <is>
          <t>لم يُفحص</t>
        </is>
      </c>
      <c r="J348" s="13" t="n">
        <v>9</v>
      </c>
      <c r="K348" s="11" t="inlineStr">
        <is>
          <t>تقدير</t>
        </is>
      </c>
      <c r="L348" s="14" t="n">
        <v>1.8</v>
      </c>
      <c r="M348" s="10" t="inlineStr">
        <is>
          <t>كبير</t>
        </is>
      </c>
      <c r="N348" s="11" t="inlineStr">
        <is>
          <t>الصيف</t>
        </is>
      </c>
      <c r="O348" s="11" t="inlineStr">
        <is>
          <t>لا</t>
        </is>
      </c>
      <c r="P348" s="15" t="n">
        <v>0.13</v>
      </c>
      <c r="Q348" s="14" t="n">
        <v>15</v>
      </c>
      <c r="R348" s="14" t="n">
        <v>50</v>
      </c>
      <c r="S348" s="16">
        <f>J348*'الافتراضات'!$B$2*(1+'الافتراضات'!$B$3)</f>
        <v/>
      </c>
      <c r="T348" s="16">
        <f>L348*'الافتراضات'!$B$4</f>
        <v/>
      </c>
      <c r="U348" s="16">
        <f>(S348+T348)*'الافتراضات'!$B$5</f>
        <v/>
      </c>
      <c r="V348" s="16">
        <f>S348+T348+U348</f>
        <v/>
      </c>
      <c r="W348" s="16">
        <f>MAX(1,E348*P348)</f>
        <v/>
      </c>
      <c r="X348" s="16">
        <f>E348*'الافتراضات'!$B$7</f>
        <v/>
      </c>
      <c r="Y348" s="16">
        <f>E348*'الافتراضات'!$B$8</f>
        <v/>
      </c>
      <c r="Z348" s="16">
        <f>E348/(1+'الافتراضات'!$B$6)</f>
        <v/>
      </c>
      <c r="AA348" s="16">
        <f>Z348-V348-W348-Q348-X348-Y348</f>
        <v/>
      </c>
      <c r="AB348" s="17">
        <f>IF(Z348=0,0,AA348/Z348)</f>
        <v/>
      </c>
      <c r="AC348" s="17">
        <f>IF(V348=0,0,AA348/V348)</f>
        <v/>
      </c>
      <c r="AD348" s="18">
        <f>R348*V348</f>
        <v/>
      </c>
      <c r="AE348" s="16">
        <f>IF(AB348&gt;='الافتراضات'!$B$9,IF(O348="لا","ابدأ به","جيد – يحتاج شهادة"),IF(AB348&gt;='الافتراضات'!$B$10,"مقبول","ضعيف"))</f>
        <v/>
      </c>
      <c r="AF348" s="16">
        <f>IF((1-'الافتراضات'!$B$9)/(1+'الافتراضات'!$B$6)-P348-'الافتراضات'!$B$7-'الافتراضات'!$B$8&lt;=0,0,(V348+Q348)/((1-'الافتراضات'!$B$9)/(1+'الافتراضات'!$B$6)-P348-'الافتراضات'!$B$7-'الافتراضات'!$B$8))</f>
        <v/>
      </c>
    </row>
    <row r="349">
      <c r="A349" s="10" t="n">
        <v>348</v>
      </c>
      <c r="B349" s="11" t="inlineStr">
        <is>
          <t>الحديقة والخارج</t>
        </is>
      </c>
      <c r="C349" s="11" t="inlineStr">
        <is>
          <t>عربة حديقة</t>
        </is>
      </c>
      <c r="D349" s="11" t="inlineStr">
        <is>
          <t>garden cart wheelbarrow</t>
        </is>
      </c>
      <c r="E349" s="12" t="n">
        <v>340</v>
      </c>
      <c r="F349" s="10" t="inlineStr">
        <is>
          <t>تقدير</t>
        </is>
      </c>
      <c r="G349" s="10" t="inlineStr">
        <is>
          <t>تقدير</t>
        </is>
      </c>
      <c r="H349" s="10" t="inlineStr">
        <is>
          <t>لم تُفحص</t>
        </is>
      </c>
      <c r="I349" s="10" t="inlineStr">
        <is>
          <t>لم يُفحص</t>
        </is>
      </c>
      <c r="J349" s="13" t="n">
        <v>30</v>
      </c>
      <c r="K349" s="11" t="inlineStr">
        <is>
          <t>تقدير</t>
        </is>
      </c>
      <c r="L349" s="14" t="n">
        <v>9</v>
      </c>
      <c r="M349" s="10" t="inlineStr">
        <is>
          <t>كبير</t>
        </is>
      </c>
      <c r="N349" s="11" t="inlineStr">
        <is>
          <t>طوال السنة</t>
        </is>
      </c>
      <c r="O349" s="11" t="inlineStr">
        <is>
          <t>لا</t>
        </is>
      </c>
      <c r="P349" s="15" t="n">
        <v>0.14</v>
      </c>
      <c r="Q349" s="14" t="n">
        <v>22</v>
      </c>
      <c r="R349" s="14" t="n">
        <v>50</v>
      </c>
      <c r="S349" s="16">
        <f>J349*'الافتراضات'!$B$2*(1+'الافتراضات'!$B$3)</f>
        <v/>
      </c>
      <c r="T349" s="16">
        <f>L349*'الافتراضات'!$B$4</f>
        <v/>
      </c>
      <c r="U349" s="16">
        <f>(S349+T349)*'الافتراضات'!$B$5</f>
        <v/>
      </c>
      <c r="V349" s="16">
        <f>S349+T349+U349</f>
        <v/>
      </c>
      <c r="W349" s="16">
        <f>MAX(1,E349*P349)</f>
        <v/>
      </c>
      <c r="X349" s="16">
        <f>E349*'الافتراضات'!$B$7</f>
        <v/>
      </c>
      <c r="Y349" s="16">
        <f>E349*'الافتراضات'!$B$8</f>
        <v/>
      </c>
      <c r="Z349" s="16">
        <f>E349/(1+'الافتراضات'!$B$6)</f>
        <v/>
      </c>
      <c r="AA349" s="16">
        <f>Z349-V349-W349-Q349-X349-Y349</f>
        <v/>
      </c>
      <c r="AB349" s="17">
        <f>IF(Z349=0,0,AA349/Z349)</f>
        <v/>
      </c>
      <c r="AC349" s="17">
        <f>IF(V349=0,0,AA349/V349)</f>
        <v/>
      </c>
      <c r="AD349" s="18">
        <f>R349*V349</f>
        <v/>
      </c>
      <c r="AE349" s="16">
        <f>IF(AB349&gt;='الافتراضات'!$B$9,IF(O349="لا","ابدأ به","جيد – يحتاج شهادة"),IF(AB349&gt;='الافتراضات'!$B$10,"مقبول","ضعيف"))</f>
        <v/>
      </c>
      <c r="AF349" s="16">
        <f>IF((1-'الافتراضات'!$B$9)/(1+'الافتراضات'!$B$6)-P349-'الافتراضات'!$B$7-'الافتراضات'!$B$8&lt;=0,0,(V349+Q349)/((1-'الافتراضات'!$B$9)/(1+'الافتراضات'!$B$6)-P349-'الافتراضات'!$B$7-'الافتراضات'!$B$8))</f>
        <v/>
      </c>
    </row>
    <row r="350">
      <c r="A350" s="10" t="n">
        <v>349</v>
      </c>
      <c r="B350" s="11" t="inlineStr">
        <is>
          <t>التخييم والسفر</t>
        </is>
      </c>
      <c r="C350" s="11" t="inlineStr">
        <is>
          <t>كشاف يدوي قوي قابل للشحن</t>
        </is>
      </c>
      <c r="D350" s="11" t="inlineStr">
        <is>
          <t>rechargeable LED flashlight</t>
        </is>
      </c>
      <c r="E350" s="12" t="n">
        <v>40</v>
      </c>
      <c r="F350" s="10" t="inlineStr">
        <is>
          <t>تقدير</t>
        </is>
      </c>
      <c r="G350" s="10" t="inlineStr">
        <is>
          <t>تقدير</t>
        </is>
      </c>
      <c r="H350" s="10" t="inlineStr">
        <is>
          <t>لم تُفحص</t>
        </is>
      </c>
      <c r="I350" s="10" t="inlineStr">
        <is>
          <t>لم يُفحص</t>
        </is>
      </c>
      <c r="J350" s="13" t="n">
        <v>3.5</v>
      </c>
      <c r="K350" s="11" t="inlineStr">
        <is>
          <t>تقدير</t>
        </is>
      </c>
      <c r="L350" s="14" t="n">
        <v>0.3</v>
      </c>
      <c r="M350" s="10" t="inlineStr">
        <is>
          <t>صغير</t>
        </is>
      </c>
      <c r="N350" s="11" t="inlineStr">
        <is>
          <t>طوال السنة</t>
        </is>
      </c>
      <c r="O350" s="11" t="inlineStr">
        <is>
          <t>SABER + بطارية ليثيوم</t>
        </is>
      </c>
      <c r="P350" s="15" t="n">
        <v>0.13</v>
      </c>
      <c r="Q350" s="14" t="n">
        <v>9.5</v>
      </c>
      <c r="R350" s="14" t="n">
        <v>50</v>
      </c>
      <c r="S350" s="16">
        <f>J350*'الافتراضات'!$B$2*(1+'الافتراضات'!$B$3)</f>
        <v/>
      </c>
      <c r="T350" s="16">
        <f>L350*'الافتراضات'!$B$4</f>
        <v/>
      </c>
      <c r="U350" s="16">
        <f>(S350+T350)*'الافتراضات'!$B$5</f>
        <v/>
      </c>
      <c r="V350" s="16">
        <f>S350+T350+U350</f>
        <v/>
      </c>
      <c r="W350" s="16">
        <f>MAX(1,E350*P350)</f>
        <v/>
      </c>
      <c r="X350" s="16">
        <f>E350*'الافتراضات'!$B$7</f>
        <v/>
      </c>
      <c r="Y350" s="16">
        <f>E350*'الافتراضات'!$B$8</f>
        <v/>
      </c>
      <c r="Z350" s="16">
        <f>E350/(1+'الافتراضات'!$B$6)</f>
        <v/>
      </c>
      <c r="AA350" s="16">
        <f>Z350-V350-W350-Q350-X350-Y350</f>
        <v/>
      </c>
      <c r="AB350" s="17">
        <f>IF(Z350=0,0,AA350/Z350)</f>
        <v/>
      </c>
      <c r="AC350" s="17">
        <f>IF(V350=0,0,AA350/V350)</f>
        <v/>
      </c>
      <c r="AD350" s="18">
        <f>R350*V350</f>
        <v/>
      </c>
      <c r="AE350" s="16">
        <f>IF(AB350&gt;='الافتراضات'!$B$9,IF(O350="لا","ابدأ به","جيد – يحتاج شهادة"),IF(AB350&gt;='الافتراضات'!$B$10,"مقبول","ضعيف"))</f>
        <v/>
      </c>
      <c r="AF350" s="16">
        <f>IF((1-'الافتراضات'!$B$9)/(1+'الافتراضات'!$B$6)-P350-'الافتراضات'!$B$7-'الافتراضات'!$B$8&lt;=0,0,(V350+Q350)/((1-'الافتراضات'!$B$9)/(1+'الافتراضات'!$B$6)-P350-'الافتراضات'!$B$7-'الافتراضات'!$B$8))</f>
        <v/>
      </c>
    </row>
    <row r="351">
      <c r="A351" s="10" t="n">
        <v>350</v>
      </c>
      <c r="B351" s="11" t="inlineStr">
        <is>
          <t>التخييم والسفر</t>
        </is>
      </c>
      <c r="C351" s="11" t="inlineStr">
        <is>
          <t>سكين متعدد الاستخدامات للتخييم</t>
        </is>
      </c>
      <c r="D351" s="11" t="inlineStr">
        <is>
          <t>multi tool knife camping</t>
        </is>
      </c>
      <c r="E351" s="12" t="n">
        <v>40</v>
      </c>
      <c r="F351" s="10" t="inlineStr">
        <is>
          <t>تقدير</t>
        </is>
      </c>
      <c r="G351" s="10" t="inlineStr">
        <is>
          <t>تقدير</t>
        </is>
      </c>
      <c r="H351" s="10" t="inlineStr">
        <is>
          <t>لم تُفحص</t>
        </is>
      </c>
      <c r="I351" s="10" t="inlineStr">
        <is>
          <t>لم يُفحص</t>
        </is>
      </c>
      <c r="J351" s="13" t="n">
        <v>3.5</v>
      </c>
      <c r="K351" s="11" t="inlineStr">
        <is>
          <t>تقدير</t>
        </is>
      </c>
      <c r="L351" s="14" t="n">
        <v>0.3</v>
      </c>
      <c r="M351" s="10" t="inlineStr">
        <is>
          <t>صغير</t>
        </is>
      </c>
      <c r="N351" s="11" t="inlineStr">
        <is>
          <t>طوال السنة</t>
        </is>
      </c>
      <c r="O351" s="11" t="inlineStr">
        <is>
          <t>تحقق من اللوائح</t>
        </is>
      </c>
      <c r="P351" s="15" t="n">
        <v>0.13</v>
      </c>
      <c r="Q351" s="14" t="n">
        <v>9.5</v>
      </c>
      <c r="R351" s="14" t="n">
        <v>50</v>
      </c>
      <c r="S351" s="16">
        <f>J351*'الافتراضات'!$B$2*(1+'الافتراضات'!$B$3)</f>
        <v/>
      </c>
      <c r="T351" s="16">
        <f>L351*'الافتراضات'!$B$4</f>
        <v/>
      </c>
      <c r="U351" s="16">
        <f>(S351+T351)*'الافتراضات'!$B$5</f>
        <v/>
      </c>
      <c r="V351" s="16">
        <f>S351+T351+U351</f>
        <v/>
      </c>
      <c r="W351" s="16">
        <f>MAX(1,E351*P351)</f>
        <v/>
      </c>
      <c r="X351" s="16">
        <f>E351*'الافتراضات'!$B$7</f>
        <v/>
      </c>
      <c r="Y351" s="16">
        <f>E351*'الافتراضات'!$B$8</f>
        <v/>
      </c>
      <c r="Z351" s="16">
        <f>E351/(1+'الافتراضات'!$B$6)</f>
        <v/>
      </c>
      <c r="AA351" s="16">
        <f>Z351-V351-W351-Q351-X351-Y351</f>
        <v/>
      </c>
      <c r="AB351" s="17">
        <f>IF(Z351=0,0,AA351/Z351)</f>
        <v/>
      </c>
      <c r="AC351" s="17">
        <f>IF(V351=0,0,AA351/V351)</f>
        <v/>
      </c>
      <c r="AD351" s="18">
        <f>R351*V351</f>
        <v/>
      </c>
      <c r="AE351" s="16">
        <f>IF(AB351&gt;='الافتراضات'!$B$9,IF(O351="لا","ابدأ به","جيد – يحتاج شهادة"),IF(AB351&gt;='الافتراضات'!$B$10,"مقبول","ضعيف"))</f>
        <v/>
      </c>
      <c r="AF351" s="16">
        <f>IF((1-'الافتراضات'!$B$9)/(1+'الافتراضات'!$B$6)-P351-'الافتراضات'!$B$7-'الافتراضات'!$B$8&lt;=0,0,(V351+Q351)/((1-'الافتراضات'!$B$9)/(1+'الافتراضات'!$B$6)-P351-'الافتراضات'!$B$7-'الافتراضات'!$B$8))</f>
        <v/>
      </c>
    </row>
    <row r="352">
      <c r="A352" s="10" t="n">
        <v>351</v>
      </c>
      <c r="B352" s="11" t="inlineStr">
        <is>
          <t>الرياضة واللياقة</t>
        </is>
      </c>
      <c r="C352" s="11" t="inlineStr">
        <is>
          <t>طاولة تنس صغيرة</t>
        </is>
      </c>
      <c r="D352" s="11" t="inlineStr">
        <is>
          <t>table tennis paddle set</t>
        </is>
      </c>
      <c r="E352" s="12" t="n">
        <v>40</v>
      </c>
      <c r="F352" s="10" t="inlineStr">
        <is>
          <t>تقدير</t>
        </is>
      </c>
      <c r="G352" s="10" t="inlineStr">
        <is>
          <t>تقدير</t>
        </is>
      </c>
      <c r="H352" s="10" t="inlineStr">
        <is>
          <t>لم تُفحص</t>
        </is>
      </c>
      <c r="I352" s="10" t="inlineStr">
        <is>
          <t>لم يُفحص</t>
        </is>
      </c>
      <c r="J352" s="13" t="n">
        <v>3.5</v>
      </c>
      <c r="K352" s="11" t="inlineStr">
        <is>
          <t>تقدير</t>
        </is>
      </c>
      <c r="L352" s="14" t="n">
        <v>0.3</v>
      </c>
      <c r="M352" s="10" t="inlineStr">
        <is>
          <t>متوسط</t>
        </is>
      </c>
      <c r="N352" s="11" t="inlineStr">
        <is>
          <t>طوال السنة</t>
        </is>
      </c>
      <c r="O352" s="11" t="inlineStr">
        <is>
          <t>لا</t>
        </is>
      </c>
      <c r="P352" s="15" t="n">
        <v>0.13</v>
      </c>
      <c r="Q352" s="14" t="n">
        <v>9.5</v>
      </c>
      <c r="R352" s="14" t="n">
        <v>50</v>
      </c>
      <c r="S352" s="16">
        <f>J352*'الافتراضات'!$B$2*(1+'الافتراضات'!$B$3)</f>
        <v/>
      </c>
      <c r="T352" s="16">
        <f>L352*'الافتراضات'!$B$4</f>
        <v/>
      </c>
      <c r="U352" s="16">
        <f>(S352+T352)*'الافتراضات'!$B$5</f>
        <v/>
      </c>
      <c r="V352" s="16">
        <f>S352+T352+U352</f>
        <v/>
      </c>
      <c r="W352" s="16">
        <f>MAX(1,E352*P352)</f>
        <v/>
      </c>
      <c r="X352" s="16">
        <f>E352*'الافتراضات'!$B$7</f>
        <v/>
      </c>
      <c r="Y352" s="16">
        <f>E352*'الافتراضات'!$B$8</f>
        <v/>
      </c>
      <c r="Z352" s="16">
        <f>E352/(1+'الافتراضات'!$B$6)</f>
        <v/>
      </c>
      <c r="AA352" s="16">
        <f>Z352-V352-W352-Q352-X352-Y352</f>
        <v/>
      </c>
      <c r="AB352" s="17">
        <f>IF(Z352=0,0,AA352/Z352)</f>
        <v/>
      </c>
      <c r="AC352" s="17">
        <f>IF(V352=0,0,AA352/V352)</f>
        <v/>
      </c>
      <c r="AD352" s="18">
        <f>R352*V352</f>
        <v/>
      </c>
      <c r="AE352" s="16">
        <f>IF(AB352&gt;='الافتراضات'!$B$9,IF(O352="لا","ابدأ به","جيد – يحتاج شهادة"),IF(AB352&gt;='الافتراضات'!$B$10,"مقبول","ضعيف"))</f>
        <v/>
      </c>
      <c r="AF352" s="16">
        <f>IF((1-'الافتراضات'!$B$9)/(1+'الافتراضات'!$B$6)-P352-'الافتراضات'!$B$7-'الافتراضات'!$B$8&lt;=0,0,(V352+Q352)/((1-'الافتراضات'!$B$9)/(1+'الافتراضات'!$B$6)-P352-'الافتراضات'!$B$7-'الافتراضات'!$B$8))</f>
        <v/>
      </c>
    </row>
    <row r="353">
      <c r="A353" s="10" t="n">
        <v>352</v>
      </c>
      <c r="B353" s="11" t="inlineStr">
        <is>
          <t>إكسسوارات الجوال والإلكترونيات</t>
        </is>
      </c>
      <c r="C353" s="11" t="inlineStr">
        <is>
          <t>مقبس كهرباء ذكي واي فاي</t>
        </is>
      </c>
      <c r="D353" s="11" t="inlineStr">
        <is>
          <t>smart plug wifi</t>
        </is>
      </c>
      <c r="E353" s="12" t="n">
        <v>36</v>
      </c>
      <c r="F353" s="10" t="inlineStr">
        <is>
          <t>تقدير</t>
        </is>
      </c>
      <c r="G353" s="10" t="inlineStr">
        <is>
          <t>تقدير</t>
        </is>
      </c>
      <c r="H353" s="10" t="inlineStr">
        <is>
          <t>لم تُفحص</t>
        </is>
      </c>
      <c r="I353" s="10" t="inlineStr">
        <is>
          <t>لم يُفحص</t>
        </is>
      </c>
      <c r="J353" s="13" t="n">
        <v>3.2</v>
      </c>
      <c r="K353" s="11" t="inlineStr">
        <is>
          <t>تقدير</t>
        </is>
      </c>
      <c r="L353" s="14" t="n">
        <v>0.15</v>
      </c>
      <c r="M353" s="10" t="inlineStr">
        <is>
          <t>صغير</t>
        </is>
      </c>
      <c r="N353" s="11" t="inlineStr">
        <is>
          <t>طوال السنة</t>
        </is>
      </c>
      <c r="O353" s="11" t="inlineStr">
        <is>
          <t>SABER</t>
        </is>
      </c>
      <c r="P353" s="15" t="n">
        <v>0.14</v>
      </c>
      <c r="Q353" s="14" t="n">
        <v>9</v>
      </c>
      <c r="R353" s="14" t="n">
        <v>50</v>
      </c>
      <c r="S353" s="16">
        <f>J353*'الافتراضات'!$B$2*(1+'الافتراضات'!$B$3)</f>
        <v/>
      </c>
      <c r="T353" s="16">
        <f>L353*'الافتراضات'!$B$4</f>
        <v/>
      </c>
      <c r="U353" s="16">
        <f>(S353+T353)*'الافتراضات'!$B$5</f>
        <v/>
      </c>
      <c r="V353" s="16">
        <f>S353+T353+U353</f>
        <v/>
      </c>
      <c r="W353" s="16">
        <f>MAX(1,E353*P353)</f>
        <v/>
      </c>
      <c r="X353" s="16">
        <f>E353*'الافتراضات'!$B$7</f>
        <v/>
      </c>
      <c r="Y353" s="16">
        <f>E353*'الافتراضات'!$B$8</f>
        <v/>
      </c>
      <c r="Z353" s="16">
        <f>E353/(1+'الافتراضات'!$B$6)</f>
        <v/>
      </c>
      <c r="AA353" s="16">
        <f>Z353-V353-W353-Q353-X353-Y353</f>
        <v/>
      </c>
      <c r="AB353" s="17">
        <f>IF(Z353=0,0,AA353/Z353)</f>
        <v/>
      </c>
      <c r="AC353" s="17">
        <f>IF(V353=0,0,AA353/V353)</f>
        <v/>
      </c>
      <c r="AD353" s="18">
        <f>R353*V353</f>
        <v/>
      </c>
      <c r="AE353" s="16">
        <f>IF(AB353&gt;='الافتراضات'!$B$9,IF(O353="لا","ابدأ به","جيد – يحتاج شهادة"),IF(AB353&gt;='الافتراضات'!$B$10,"مقبول","ضعيف"))</f>
        <v/>
      </c>
      <c r="AF353" s="16">
        <f>IF((1-'الافتراضات'!$B$9)/(1+'الافتراضات'!$B$6)-P353-'الافتراضات'!$B$7-'الافتراضات'!$B$8&lt;=0,0,(V353+Q353)/((1-'الافتراضات'!$B$9)/(1+'الافتراضات'!$B$6)-P353-'الافتراضات'!$B$7-'الافتراضات'!$B$8))</f>
        <v/>
      </c>
    </row>
    <row r="354">
      <c r="A354" s="10" t="n">
        <v>353</v>
      </c>
      <c r="B354" s="11" t="inlineStr">
        <is>
          <t>الإضاءة والديكور</t>
        </is>
      </c>
      <c r="C354" s="11" t="inlineStr">
        <is>
          <t>إضاءة كرة القمر</t>
        </is>
      </c>
      <c r="D354" s="11" t="inlineStr">
        <is>
          <t>moon lamp 3D</t>
        </is>
      </c>
      <c r="E354" s="12" t="n">
        <v>45</v>
      </c>
      <c r="F354" s="10" t="inlineStr">
        <is>
          <t>تقدير</t>
        </is>
      </c>
      <c r="G354" s="10" t="inlineStr">
        <is>
          <t>تقدير</t>
        </is>
      </c>
      <c r="H354" s="10" t="inlineStr">
        <is>
          <t>لم تُفحص</t>
        </is>
      </c>
      <c r="I354" s="10" t="inlineStr">
        <is>
          <t>لم يُفحص</t>
        </is>
      </c>
      <c r="J354" s="13" t="n">
        <v>4</v>
      </c>
      <c r="K354" s="11" t="inlineStr">
        <is>
          <t>تقدير</t>
        </is>
      </c>
      <c r="L354" s="14" t="n">
        <v>0.4</v>
      </c>
      <c r="M354" s="10" t="inlineStr">
        <is>
          <t>متوسط</t>
        </is>
      </c>
      <c r="N354" s="11" t="inlineStr">
        <is>
          <t>طوال السنة</t>
        </is>
      </c>
      <c r="O354" s="11" t="inlineStr">
        <is>
          <t>SABER + بطارية ليثيوم</t>
        </is>
      </c>
      <c r="P354" s="15" t="n">
        <v>0.14</v>
      </c>
      <c r="Q354" s="14" t="n">
        <v>9.5</v>
      </c>
      <c r="R354" s="14" t="n">
        <v>50</v>
      </c>
      <c r="S354" s="16">
        <f>J354*'الافتراضات'!$B$2*(1+'الافتراضات'!$B$3)</f>
        <v/>
      </c>
      <c r="T354" s="16">
        <f>L354*'الافتراضات'!$B$4</f>
        <v/>
      </c>
      <c r="U354" s="16">
        <f>(S354+T354)*'الافتراضات'!$B$5</f>
        <v/>
      </c>
      <c r="V354" s="16">
        <f>S354+T354+U354</f>
        <v/>
      </c>
      <c r="W354" s="16">
        <f>MAX(1,E354*P354)</f>
        <v/>
      </c>
      <c r="X354" s="16">
        <f>E354*'الافتراضات'!$B$7</f>
        <v/>
      </c>
      <c r="Y354" s="16">
        <f>E354*'الافتراضات'!$B$8</f>
        <v/>
      </c>
      <c r="Z354" s="16">
        <f>E354/(1+'الافتراضات'!$B$6)</f>
        <v/>
      </c>
      <c r="AA354" s="16">
        <f>Z354-V354-W354-Q354-X354-Y354</f>
        <v/>
      </c>
      <c r="AB354" s="17">
        <f>IF(Z354=0,0,AA354/Z354)</f>
        <v/>
      </c>
      <c r="AC354" s="17">
        <f>IF(V354=0,0,AA354/V354)</f>
        <v/>
      </c>
      <c r="AD354" s="18">
        <f>R354*V354</f>
        <v/>
      </c>
      <c r="AE354" s="16">
        <f>IF(AB354&gt;='الافتراضات'!$B$9,IF(O354="لا","ابدأ به","جيد – يحتاج شهادة"),IF(AB354&gt;='الافتراضات'!$B$10,"مقبول","ضعيف"))</f>
        <v/>
      </c>
      <c r="AF354" s="16">
        <f>IF((1-'الافتراضات'!$B$9)/(1+'الافتراضات'!$B$6)-P354-'الافتراضات'!$B$7-'الافتراضات'!$B$8&lt;=0,0,(V354+Q354)/((1-'الافتراضات'!$B$9)/(1+'الافتراضات'!$B$6)-P354-'الافتراضات'!$B$7-'الافتراضات'!$B$8))</f>
        <v/>
      </c>
    </row>
    <row r="355">
      <c r="A355" s="10" t="n">
        <v>354</v>
      </c>
      <c r="B355" s="11" t="inlineStr">
        <is>
          <t>الرياضة واللياقة</t>
        </is>
      </c>
      <c r="C355" s="11" t="inlineStr">
        <is>
          <t>قبضة تقوية اليد</t>
        </is>
      </c>
      <c r="D355" s="11" t="inlineStr">
        <is>
          <t>hand grip strengthener adjustable</t>
        </is>
      </c>
      <c r="E355" s="12" t="n">
        <v>25</v>
      </c>
      <c r="F355" s="10" t="inlineStr">
        <is>
          <t>تقدير</t>
        </is>
      </c>
      <c r="G355" s="10" t="inlineStr">
        <is>
          <t>تقدير</t>
        </is>
      </c>
      <c r="H355" s="10" t="inlineStr">
        <is>
          <t>لم تُفحص</t>
        </is>
      </c>
      <c r="I355" s="10" t="inlineStr">
        <is>
          <t>لم يُفحص</t>
        </is>
      </c>
      <c r="J355" s="13" t="n">
        <v>1.2</v>
      </c>
      <c r="K355" s="11" t="inlineStr">
        <is>
          <t>تقدير</t>
        </is>
      </c>
      <c r="L355" s="14" t="n">
        <v>0.3</v>
      </c>
      <c r="M355" s="10" t="inlineStr">
        <is>
          <t>صغير</t>
        </is>
      </c>
      <c r="N355" s="11" t="inlineStr">
        <is>
          <t>طوال السنة</t>
        </is>
      </c>
      <c r="O355" s="11" t="inlineStr">
        <is>
          <t>لا</t>
        </is>
      </c>
      <c r="P355" s="15" t="n">
        <v>0.2</v>
      </c>
      <c r="Q355" s="14" t="n">
        <v>7.5</v>
      </c>
      <c r="R355" s="14" t="n">
        <v>50</v>
      </c>
      <c r="S355" s="16">
        <f>J355*'الافتراضات'!$B$2*(1+'الافتراضات'!$B$3)</f>
        <v/>
      </c>
      <c r="T355" s="16">
        <f>L355*'الافتراضات'!$B$4</f>
        <v/>
      </c>
      <c r="U355" s="16">
        <f>(S355+T355)*'الافتراضات'!$B$5</f>
        <v/>
      </c>
      <c r="V355" s="16">
        <f>S355+T355+U355</f>
        <v/>
      </c>
      <c r="W355" s="16">
        <f>MAX(1,E355*P355)</f>
        <v/>
      </c>
      <c r="X355" s="16">
        <f>E355*'الافتراضات'!$B$7</f>
        <v/>
      </c>
      <c r="Y355" s="16">
        <f>E355*'الافتراضات'!$B$8</f>
        <v/>
      </c>
      <c r="Z355" s="16">
        <f>E355/(1+'الافتراضات'!$B$6)</f>
        <v/>
      </c>
      <c r="AA355" s="16">
        <f>Z355-V355-W355-Q355-X355-Y355</f>
        <v/>
      </c>
      <c r="AB355" s="17">
        <f>IF(Z355=0,0,AA355/Z355)</f>
        <v/>
      </c>
      <c r="AC355" s="17">
        <f>IF(V355=0,0,AA355/V355)</f>
        <v/>
      </c>
      <c r="AD355" s="18">
        <f>R355*V355</f>
        <v/>
      </c>
      <c r="AE355" s="16">
        <f>IF(AB355&gt;='الافتراضات'!$B$9,IF(O355="لا","ابدأ به","جيد – يحتاج شهادة"),IF(AB355&gt;='الافتراضات'!$B$10,"مقبول","ضعيف"))</f>
        <v/>
      </c>
      <c r="AF355" s="16">
        <f>IF((1-'الافتراضات'!$B$9)/(1+'الافتراضات'!$B$6)-P355-'الافتراضات'!$B$7-'الافتراضات'!$B$8&lt;=0,0,(V355+Q355)/((1-'الافتراضات'!$B$9)/(1+'الافتراضات'!$B$6)-P355-'الافتراضات'!$B$7-'الافتراضات'!$B$8))</f>
        <v/>
      </c>
    </row>
    <row r="356">
      <c r="A356" s="10" t="n">
        <v>355</v>
      </c>
      <c r="B356" s="11" t="inlineStr">
        <is>
          <t>السيارات والدراجات</t>
        </is>
      </c>
      <c r="C356" s="11" t="inlineStr">
        <is>
          <t>شاحن سيارة سريع PD 45 واط</t>
        </is>
      </c>
      <c r="D356" s="11" t="inlineStr">
        <is>
          <t>car charger PD 45W</t>
        </is>
      </c>
      <c r="E356" s="12" t="n">
        <v>27</v>
      </c>
      <c r="F356" s="10" t="inlineStr">
        <is>
          <t>تقدير</t>
        </is>
      </c>
      <c r="G356" s="10" t="inlineStr">
        <is>
          <t>تقدير</t>
        </is>
      </c>
      <c r="H356" s="10" t="inlineStr">
        <is>
          <t>لم تُفحص</t>
        </is>
      </c>
      <c r="I356" s="10" t="inlineStr">
        <is>
          <t>لم يُفحص</t>
        </is>
      </c>
      <c r="J356" s="13" t="n">
        <v>2.4</v>
      </c>
      <c r="K356" s="11" t="inlineStr">
        <is>
          <t>تقدير</t>
        </is>
      </c>
      <c r="L356" s="14" t="n">
        <v>0.1</v>
      </c>
      <c r="M356" s="10" t="inlineStr">
        <is>
          <t>صغير</t>
        </is>
      </c>
      <c r="N356" s="11" t="inlineStr">
        <is>
          <t>طوال السنة</t>
        </is>
      </c>
      <c r="O356" s="11" t="inlineStr">
        <is>
          <t>SABER</t>
        </is>
      </c>
      <c r="P356" s="15" t="n">
        <v>0.1</v>
      </c>
      <c r="Q356" s="14" t="n">
        <v>8</v>
      </c>
      <c r="R356" s="14" t="n">
        <v>50</v>
      </c>
      <c r="S356" s="16">
        <f>J356*'الافتراضات'!$B$2*(1+'الافتراضات'!$B$3)</f>
        <v/>
      </c>
      <c r="T356" s="16">
        <f>L356*'الافتراضات'!$B$4</f>
        <v/>
      </c>
      <c r="U356" s="16">
        <f>(S356+T356)*'الافتراضات'!$B$5</f>
        <v/>
      </c>
      <c r="V356" s="16">
        <f>S356+T356+U356</f>
        <v/>
      </c>
      <c r="W356" s="16">
        <f>MAX(1,E356*P356)</f>
        <v/>
      </c>
      <c r="X356" s="16">
        <f>E356*'الافتراضات'!$B$7</f>
        <v/>
      </c>
      <c r="Y356" s="16">
        <f>E356*'الافتراضات'!$B$8</f>
        <v/>
      </c>
      <c r="Z356" s="16">
        <f>E356/(1+'الافتراضات'!$B$6)</f>
        <v/>
      </c>
      <c r="AA356" s="16">
        <f>Z356-V356-W356-Q356-X356-Y356</f>
        <v/>
      </c>
      <c r="AB356" s="17">
        <f>IF(Z356=0,0,AA356/Z356)</f>
        <v/>
      </c>
      <c r="AC356" s="17">
        <f>IF(V356=0,0,AA356/V356)</f>
        <v/>
      </c>
      <c r="AD356" s="18">
        <f>R356*V356</f>
        <v/>
      </c>
      <c r="AE356" s="16">
        <f>IF(AB356&gt;='الافتراضات'!$B$9,IF(O356="لا","ابدأ به","جيد – يحتاج شهادة"),IF(AB356&gt;='الافتراضات'!$B$10,"مقبول","ضعيف"))</f>
        <v/>
      </c>
      <c r="AF356" s="16">
        <f>IF((1-'الافتراضات'!$B$9)/(1+'الافتراضات'!$B$6)-P356-'الافتراضات'!$B$7-'الافتراضات'!$B$8&lt;=0,0,(V356+Q356)/((1-'الافتراضات'!$B$9)/(1+'الافتراضات'!$B$6)-P356-'الافتراضات'!$B$7-'الافتراضات'!$B$8))</f>
        <v/>
      </c>
    </row>
    <row r="357">
      <c r="A357" s="10" t="n">
        <v>356</v>
      </c>
      <c r="B357" s="11" t="inlineStr">
        <is>
          <t>الأطفال والألعاب</t>
        </is>
      </c>
      <c r="C357" s="11" t="inlineStr">
        <is>
          <t>لوحة أنشطة مونتيسوري خشبية</t>
        </is>
      </c>
      <c r="D357" s="11" t="inlineStr">
        <is>
          <t>montessori wooden busy board</t>
        </is>
      </c>
      <c r="E357" s="12" t="n">
        <v>57</v>
      </c>
      <c r="F357" s="10" t="inlineStr">
        <is>
          <t>تقدير</t>
        </is>
      </c>
      <c r="G357" s="10" t="inlineStr">
        <is>
          <t>تقدير</t>
        </is>
      </c>
      <c r="H357" s="10" t="inlineStr">
        <is>
          <t>لم تُفحص</t>
        </is>
      </c>
      <c r="I357" s="10" t="inlineStr">
        <is>
          <t>لم يُفحص</t>
        </is>
      </c>
      <c r="J357" s="13" t="n">
        <v>5</v>
      </c>
      <c r="K357" s="11" t="inlineStr">
        <is>
          <t>تقدير</t>
        </is>
      </c>
      <c r="L357" s="14" t="n">
        <v>0.8</v>
      </c>
      <c r="M357" s="10" t="inlineStr">
        <is>
          <t>متوسط</t>
        </is>
      </c>
      <c r="N357" s="11" t="inlineStr">
        <is>
          <t>طوال السنة</t>
        </is>
      </c>
      <c r="O357" s="11" t="inlineStr">
        <is>
          <t>اشتراطات سلامة الألعاب</t>
        </is>
      </c>
      <c r="P357" s="15" t="n">
        <v>0.14</v>
      </c>
      <c r="Q357" s="14" t="n">
        <v>10</v>
      </c>
      <c r="R357" s="14" t="n">
        <v>50</v>
      </c>
      <c r="S357" s="16">
        <f>J357*'الافتراضات'!$B$2*(1+'الافتراضات'!$B$3)</f>
        <v/>
      </c>
      <c r="T357" s="16">
        <f>L357*'الافتراضات'!$B$4</f>
        <v/>
      </c>
      <c r="U357" s="16">
        <f>(S357+T357)*'الافتراضات'!$B$5</f>
        <v/>
      </c>
      <c r="V357" s="16">
        <f>S357+T357+U357</f>
        <v/>
      </c>
      <c r="W357" s="16">
        <f>MAX(1,E357*P357)</f>
        <v/>
      </c>
      <c r="X357" s="16">
        <f>E357*'الافتراضات'!$B$7</f>
        <v/>
      </c>
      <c r="Y357" s="16">
        <f>E357*'الافتراضات'!$B$8</f>
        <v/>
      </c>
      <c r="Z357" s="16">
        <f>E357/(1+'الافتراضات'!$B$6)</f>
        <v/>
      </c>
      <c r="AA357" s="16">
        <f>Z357-V357-W357-Q357-X357-Y357</f>
        <v/>
      </c>
      <c r="AB357" s="17">
        <f>IF(Z357=0,0,AA357/Z357)</f>
        <v/>
      </c>
      <c r="AC357" s="17">
        <f>IF(V357=0,0,AA357/V357)</f>
        <v/>
      </c>
      <c r="AD357" s="18">
        <f>R357*V357</f>
        <v/>
      </c>
      <c r="AE357" s="16">
        <f>IF(AB357&gt;='الافتراضات'!$B$9,IF(O357="لا","ابدأ به","جيد – يحتاج شهادة"),IF(AB357&gt;='الافتراضات'!$B$10,"مقبول","ضعيف"))</f>
        <v/>
      </c>
      <c r="AF357" s="16">
        <f>IF((1-'الافتراضات'!$B$9)/(1+'الافتراضات'!$B$6)-P357-'الافتراضات'!$B$7-'الافتراضات'!$B$8&lt;=0,0,(V357+Q357)/((1-'الافتراضات'!$B$9)/(1+'الافتراضات'!$B$6)-P357-'الافتراضات'!$B$7-'الافتراضات'!$B$8))</f>
        <v/>
      </c>
    </row>
    <row r="358">
      <c r="A358" s="10" t="n">
        <v>357</v>
      </c>
      <c r="B358" s="11" t="inlineStr">
        <is>
          <t>الأطفال والألعاب</t>
        </is>
      </c>
      <c r="C358" s="11" t="inlineStr">
        <is>
          <t>خيمة أطفال للعب</t>
        </is>
      </c>
      <c r="D358" s="11" t="inlineStr">
        <is>
          <t>kids play tent</t>
        </is>
      </c>
      <c r="E358" s="12" t="n">
        <v>57</v>
      </c>
      <c r="F358" s="10" t="inlineStr">
        <is>
          <t>تقدير</t>
        </is>
      </c>
      <c r="G358" s="10" t="inlineStr">
        <is>
          <t>تقدير</t>
        </is>
      </c>
      <c r="H358" s="10" t="inlineStr">
        <is>
          <t>لم تُفحص</t>
        </is>
      </c>
      <c r="I358" s="10" t="inlineStr">
        <is>
          <t>لم يُفحص</t>
        </is>
      </c>
      <c r="J358" s="13" t="n">
        <v>5</v>
      </c>
      <c r="K358" s="11" t="inlineStr">
        <is>
          <t>تقدير</t>
        </is>
      </c>
      <c r="L358" s="14" t="n">
        <v>0.8</v>
      </c>
      <c r="M358" s="10" t="inlineStr">
        <is>
          <t>متوسط</t>
        </is>
      </c>
      <c r="N358" s="11" t="inlineStr">
        <is>
          <t>طوال السنة</t>
        </is>
      </c>
      <c r="O358" s="11" t="inlineStr">
        <is>
          <t>اشتراطات سلامة الألعاب</t>
        </is>
      </c>
      <c r="P358" s="15" t="n">
        <v>0.14</v>
      </c>
      <c r="Q358" s="14" t="n">
        <v>10</v>
      </c>
      <c r="R358" s="14" t="n">
        <v>50</v>
      </c>
      <c r="S358" s="16">
        <f>J358*'الافتراضات'!$B$2*(1+'الافتراضات'!$B$3)</f>
        <v/>
      </c>
      <c r="T358" s="16">
        <f>L358*'الافتراضات'!$B$4</f>
        <v/>
      </c>
      <c r="U358" s="16">
        <f>(S358+T358)*'الافتراضات'!$B$5</f>
        <v/>
      </c>
      <c r="V358" s="16">
        <f>S358+T358+U358</f>
        <v/>
      </c>
      <c r="W358" s="16">
        <f>MAX(1,E358*P358)</f>
        <v/>
      </c>
      <c r="X358" s="16">
        <f>E358*'الافتراضات'!$B$7</f>
        <v/>
      </c>
      <c r="Y358" s="16">
        <f>E358*'الافتراضات'!$B$8</f>
        <v/>
      </c>
      <c r="Z358" s="16">
        <f>E358/(1+'الافتراضات'!$B$6)</f>
        <v/>
      </c>
      <c r="AA358" s="16">
        <f>Z358-V358-W358-Q358-X358-Y358</f>
        <v/>
      </c>
      <c r="AB358" s="17">
        <f>IF(Z358=0,0,AA358/Z358)</f>
        <v/>
      </c>
      <c r="AC358" s="17">
        <f>IF(V358=0,0,AA358/V358)</f>
        <v/>
      </c>
      <c r="AD358" s="18">
        <f>R358*V358</f>
        <v/>
      </c>
      <c r="AE358" s="16">
        <f>IF(AB358&gt;='الافتراضات'!$B$9,IF(O358="لا","ابدأ به","جيد – يحتاج شهادة"),IF(AB358&gt;='الافتراضات'!$B$10,"مقبول","ضعيف"))</f>
        <v/>
      </c>
      <c r="AF358" s="16">
        <f>IF((1-'الافتراضات'!$B$9)/(1+'الافتراضات'!$B$6)-P358-'الافتراضات'!$B$7-'الافتراضات'!$B$8&lt;=0,0,(V358+Q358)/((1-'الافتراضات'!$B$9)/(1+'الافتراضات'!$B$6)-P358-'الافتراضات'!$B$7-'الافتراضات'!$B$8))</f>
        <v/>
      </c>
    </row>
    <row r="359">
      <c r="A359" s="10" t="n">
        <v>358</v>
      </c>
      <c r="B359" s="11" t="inlineStr">
        <is>
          <t>الأدوات والصيانة</t>
        </is>
      </c>
      <c r="C359" s="11" t="inlineStr">
        <is>
          <t>شنطة أدوات</t>
        </is>
      </c>
      <c r="D359" s="11" t="inlineStr">
        <is>
          <t>tool bag organizer</t>
        </is>
      </c>
      <c r="E359" s="12" t="n">
        <v>57</v>
      </c>
      <c r="F359" s="10" t="inlineStr">
        <is>
          <t>تقدير</t>
        </is>
      </c>
      <c r="G359" s="10" t="inlineStr">
        <is>
          <t>تقدير</t>
        </is>
      </c>
      <c r="H359" s="10" t="inlineStr">
        <is>
          <t>لم تُفحص</t>
        </is>
      </c>
      <c r="I359" s="10" t="inlineStr">
        <is>
          <t>لم يُفحص</t>
        </is>
      </c>
      <c r="J359" s="13" t="n">
        <v>5</v>
      </c>
      <c r="K359" s="11" t="inlineStr">
        <is>
          <t>تقدير</t>
        </is>
      </c>
      <c r="L359" s="14" t="n">
        <v>0.8</v>
      </c>
      <c r="M359" s="10" t="inlineStr">
        <is>
          <t>متوسط</t>
        </is>
      </c>
      <c r="N359" s="11" t="inlineStr">
        <is>
          <t>طوال السنة</t>
        </is>
      </c>
      <c r="O359" s="11" t="inlineStr">
        <is>
          <t>لا</t>
        </is>
      </c>
      <c r="P359" s="15" t="n">
        <v>0.14</v>
      </c>
      <c r="Q359" s="14" t="n">
        <v>10</v>
      </c>
      <c r="R359" s="14" t="n">
        <v>50</v>
      </c>
      <c r="S359" s="16">
        <f>J359*'الافتراضات'!$B$2*(1+'الافتراضات'!$B$3)</f>
        <v/>
      </c>
      <c r="T359" s="16">
        <f>L359*'الافتراضات'!$B$4</f>
        <v/>
      </c>
      <c r="U359" s="16">
        <f>(S359+T359)*'الافتراضات'!$B$5</f>
        <v/>
      </c>
      <c r="V359" s="16">
        <f>S359+T359+U359</f>
        <v/>
      </c>
      <c r="W359" s="16">
        <f>MAX(1,E359*P359)</f>
        <v/>
      </c>
      <c r="X359" s="16">
        <f>E359*'الافتراضات'!$B$7</f>
        <v/>
      </c>
      <c r="Y359" s="16">
        <f>E359*'الافتراضات'!$B$8</f>
        <v/>
      </c>
      <c r="Z359" s="16">
        <f>E359/(1+'الافتراضات'!$B$6)</f>
        <v/>
      </c>
      <c r="AA359" s="16">
        <f>Z359-V359-W359-Q359-X359-Y359</f>
        <v/>
      </c>
      <c r="AB359" s="17">
        <f>IF(Z359=0,0,AA359/Z359)</f>
        <v/>
      </c>
      <c r="AC359" s="17">
        <f>IF(V359=0,0,AA359/V359)</f>
        <v/>
      </c>
      <c r="AD359" s="18">
        <f>R359*V359</f>
        <v/>
      </c>
      <c r="AE359" s="16">
        <f>IF(AB359&gt;='الافتراضات'!$B$9,IF(O359="لا","ابدأ به","جيد – يحتاج شهادة"),IF(AB359&gt;='الافتراضات'!$B$10,"مقبول","ضعيف"))</f>
        <v/>
      </c>
      <c r="AF359" s="16">
        <f>IF((1-'الافتراضات'!$B$9)/(1+'الافتراضات'!$B$6)-P359-'الافتراضات'!$B$7-'الافتراضات'!$B$8&lt;=0,0,(V359+Q359)/((1-'الافتراضات'!$B$9)/(1+'الافتراضات'!$B$6)-P359-'الافتراضات'!$B$7-'الافتراضات'!$B$8))</f>
        <v/>
      </c>
    </row>
    <row r="360">
      <c r="A360" s="10" t="n">
        <v>359</v>
      </c>
      <c r="B360" s="11" t="inlineStr">
        <is>
          <t>الأدوات والصيانة</t>
        </is>
      </c>
      <c r="C360" s="11" t="inlineStr">
        <is>
          <t>بخاخ ضغط يدوي للحديقة</t>
        </is>
      </c>
      <c r="D360" s="11" t="inlineStr">
        <is>
          <t>pump pressure sprayer 5L</t>
        </is>
      </c>
      <c r="E360" s="12" t="n">
        <v>57</v>
      </c>
      <c r="F360" s="10" t="inlineStr">
        <is>
          <t>تقدير</t>
        </is>
      </c>
      <c r="G360" s="10" t="inlineStr">
        <is>
          <t>تقدير</t>
        </is>
      </c>
      <c r="H360" s="10" t="inlineStr">
        <is>
          <t>لم تُفحص</t>
        </is>
      </c>
      <c r="I360" s="10" t="inlineStr">
        <is>
          <t>لم يُفحص</t>
        </is>
      </c>
      <c r="J360" s="13" t="n">
        <v>5</v>
      </c>
      <c r="K360" s="11" t="inlineStr">
        <is>
          <t>تقدير</t>
        </is>
      </c>
      <c r="L360" s="14" t="n">
        <v>0.8</v>
      </c>
      <c r="M360" s="10" t="inlineStr">
        <is>
          <t>متوسط</t>
        </is>
      </c>
      <c r="N360" s="11" t="inlineStr">
        <is>
          <t>الصيف</t>
        </is>
      </c>
      <c r="O360" s="11" t="inlineStr">
        <is>
          <t>لا</t>
        </is>
      </c>
      <c r="P360" s="15" t="n">
        <v>0.14</v>
      </c>
      <c r="Q360" s="14" t="n">
        <v>10</v>
      </c>
      <c r="R360" s="14" t="n">
        <v>50</v>
      </c>
      <c r="S360" s="16">
        <f>J360*'الافتراضات'!$B$2*(1+'الافتراضات'!$B$3)</f>
        <v/>
      </c>
      <c r="T360" s="16">
        <f>L360*'الافتراضات'!$B$4</f>
        <v/>
      </c>
      <c r="U360" s="16">
        <f>(S360+T360)*'الافتراضات'!$B$5</f>
        <v/>
      </c>
      <c r="V360" s="16">
        <f>S360+T360+U360</f>
        <v/>
      </c>
      <c r="W360" s="16">
        <f>MAX(1,E360*P360)</f>
        <v/>
      </c>
      <c r="X360" s="16">
        <f>E360*'الافتراضات'!$B$7</f>
        <v/>
      </c>
      <c r="Y360" s="16">
        <f>E360*'الافتراضات'!$B$8</f>
        <v/>
      </c>
      <c r="Z360" s="16">
        <f>E360/(1+'الافتراضات'!$B$6)</f>
        <v/>
      </c>
      <c r="AA360" s="16">
        <f>Z360-V360-W360-Q360-X360-Y360</f>
        <v/>
      </c>
      <c r="AB360" s="17">
        <f>IF(Z360=0,0,AA360/Z360)</f>
        <v/>
      </c>
      <c r="AC360" s="17">
        <f>IF(V360=0,0,AA360/V360)</f>
        <v/>
      </c>
      <c r="AD360" s="18">
        <f>R360*V360</f>
        <v/>
      </c>
      <c r="AE360" s="16">
        <f>IF(AB360&gt;='الافتراضات'!$B$9,IF(O360="لا","ابدأ به","جيد – يحتاج شهادة"),IF(AB360&gt;='الافتراضات'!$B$10,"مقبول","ضعيف"))</f>
        <v/>
      </c>
      <c r="AF360" s="16">
        <f>IF((1-'الافتراضات'!$B$9)/(1+'الافتراضات'!$B$6)-P360-'الافتراضات'!$B$7-'الافتراضات'!$B$8&lt;=0,0,(V360+Q360)/((1-'الافتراضات'!$B$9)/(1+'الافتراضات'!$B$6)-P360-'الافتراضات'!$B$7-'الافتراضات'!$B$8))</f>
        <v/>
      </c>
    </row>
    <row r="361">
      <c r="A361" s="10" t="n">
        <v>360</v>
      </c>
      <c r="B361" s="11" t="inlineStr">
        <is>
          <t>الحديقة والخارج</t>
        </is>
      </c>
      <c r="C361" s="11" t="inlineStr">
        <is>
          <t>شبكة حماية الشرفة</t>
        </is>
      </c>
      <c r="D361" s="11" t="inlineStr">
        <is>
          <t>balcony safety net</t>
        </is>
      </c>
      <c r="E361" s="12" t="n">
        <v>57</v>
      </c>
      <c r="F361" s="10" t="inlineStr">
        <is>
          <t>تقدير</t>
        </is>
      </c>
      <c r="G361" s="10" t="inlineStr">
        <is>
          <t>تقدير</t>
        </is>
      </c>
      <c r="H361" s="10" t="inlineStr">
        <is>
          <t>لم تُفحص</t>
        </is>
      </c>
      <c r="I361" s="10" t="inlineStr">
        <is>
          <t>لم يُفحص</t>
        </is>
      </c>
      <c r="J361" s="13" t="n">
        <v>5</v>
      </c>
      <c r="K361" s="11" t="inlineStr">
        <is>
          <t>تقدير</t>
        </is>
      </c>
      <c r="L361" s="14" t="n">
        <v>0.8</v>
      </c>
      <c r="M361" s="10" t="inlineStr">
        <is>
          <t>متوسط</t>
        </is>
      </c>
      <c r="N361" s="11" t="inlineStr">
        <is>
          <t>طوال السنة</t>
        </is>
      </c>
      <c r="O361" s="11" t="inlineStr">
        <is>
          <t>لا</t>
        </is>
      </c>
      <c r="P361" s="15" t="n">
        <v>0.14</v>
      </c>
      <c r="Q361" s="14" t="n">
        <v>10</v>
      </c>
      <c r="R361" s="14" t="n">
        <v>50</v>
      </c>
      <c r="S361" s="16">
        <f>J361*'الافتراضات'!$B$2*(1+'الافتراضات'!$B$3)</f>
        <v/>
      </c>
      <c r="T361" s="16">
        <f>L361*'الافتراضات'!$B$4</f>
        <v/>
      </c>
      <c r="U361" s="16">
        <f>(S361+T361)*'الافتراضات'!$B$5</f>
        <v/>
      </c>
      <c r="V361" s="16">
        <f>S361+T361+U361</f>
        <v/>
      </c>
      <c r="W361" s="16">
        <f>MAX(1,E361*P361)</f>
        <v/>
      </c>
      <c r="X361" s="16">
        <f>E361*'الافتراضات'!$B$7</f>
        <v/>
      </c>
      <c r="Y361" s="16">
        <f>E361*'الافتراضات'!$B$8</f>
        <v/>
      </c>
      <c r="Z361" s="16">
        <f>E361/(1+'الافتراضات'!$B$6)</f>
        <v/>
      </c>
      <c r="AA361" s="16">
        <f>Z361-V361-W361-Q361-X361-Y361</f>
        <v/>
      </c>
      <c r="AB361" s="17">
        <f>IF(Z361=0,0,AA361/Z361)</f>
        <v/>
      </c>
      <c r="AC361" s="17">
        <f>IF(V361=0,0,AA361/V361)</f>
        <v/>
      </c>
      <c r="AD361" s="18">
        <f>R361*V361</f>
        <v/>
      </c>
      <c r="AE361" s="16">
        <f>IF(AB361&gt;='الافتراضات'!$B$9,IF(O361="لا","ابدأ به","جيد – يحتاج شهادة"),IF(AB361&gt;='الافتراضات'!$B$10,"مقبول","ضعيف"))</f>
        <v/>
      </c>
      <c r="AF361" s="16">
        <f>IF((1-'الافتراضات'!$B$9)/(1+'الافتراضات'!$B$6)-P361-'الافتراضات'!$B$7-'الافتراضات'!$B$8&lt;=0,0,(V361+Q361)/((1-'الافتراضات'!$B$9)/(1+'الافتراضات'!$B$6)-P361-'الافتراضات'!$B$7-'الافتراضات'!$B$8))</f>
        <v/>
      </c>
    </row>
    <row r="362">
      <c r="A362" s="10" t="n">
        <v>361</v>
      </c>
      <c r="B362" s="11" t="inlineStr">
        <is>
          <t>الحيوانات الأليفة</t>
        </is>
      </c>
      <c r="C362" s="11" t="inlineStr">
        <is>
          <t>صندوق رمل قطط مغلق</t>
        </is>
      </c>
      <c r="D362" s="11" t="inlineStr">
        <is>
          <t>enclosed cat litter box</t>
        </is>
      </c>
      <c r="E362" s="12" t="n">
        <v>113</v>
      </c>
      <c r="F362" s="10" t="inlineStr">
        <is>
          <t>تقدير</t>
        </is>
      </c>
      <c r="G362" s="10" t="inlineStr">
        <is>
          <t>تقدير</t>
        </is>
      </c>
      <c r="H362" s="10" t="inlineStr">
        <is>
          <t>لم تُفحص</t>
        </is>
      </c>
      <c r="I362" s="10" t="inlineStr">
        <is>
          <t>لم يُفحص</t>
        </is>
      </c>
      <c r="J362" s="13" t="n">
        <v>10</v>
      </c>
      <c r="K362" s="11" t="inlineStr">
        <is>
          <t>تقدير</t>
        </is>
      </c>
      <c r="L362" s="14" t="n">
        <v>2</v>
      </c>
      <c r="M362" s="10" t="inlineStr">
        <is>
          <t>كبير</t>
        </is>
      </c>
      <c r="N362" s="11" t="inlineStr">
        <is>
          <t>طوال السنة</t>
        </is>
      </c>
      <c r="O362" s="11" t="inlineStr">
        <is>
          <t>لا</t>
        </is>
      </c>
      <c r="P362" s="15" t="n">
        <v>0.15</v>
      </c>
      <c r="Q362" s="14" t="n">
        <v>15</v>
      </c>
      <c r="R362" s="14" t="n">
        <v>50</v>
      </c>
      <c r="S362" s="16">
        <f>J362*'الافتراضات'!$B$2*(1+'الافتراضات'!$B$3)</f>
        <v/>
      </c>
      <c r="T362" s="16">
        <f>L362*'الافتراضات'!$B$4</f>
        <v/>
      </c>
      <c r="U362" s="16">
        <f>(S362+T362)*'الافتراضات'!$B$5</f>
        <v/>
      </c>
      <c r="V362" s="16">
        <f>S362+T362+U362</f>
        <v/>
      </c>
      <c r="W362" s="16">
        <f>MAX(1,E362*P362)</f>
        <v/>
      </c>
      <c r="X362" s="16">
        <f>E362*'الافتراضات'!$B$7</f>
        <v/>
      </c>
      <c r="Y362" s="16">
        <f>E362*'الافتراضات'!$B$8</f>
        <v/>
      </c>
      <c r="Z362" s="16">
        <f>E362/(1+'الافتراضات'!$B$6)</f>
        <v/>
      </c>
      <c r="AA362" s="16">
        <f>Z362-V362-W362-Q362-X362-Y362</f>
        <v/>
      </c>
      <c r="AB362" s="17">
        <f>IF(Z362=0,0,AA362/Z362)</f>
        <v/>
      </c>
      <c r="AC362" s="17">
        <f>IF(V362=0,0,AA362/V362)</f>
        <v/>
      </c>
      <c r="AD362" s="18">
        <f>R362*V362</f>
        <v/>
      </c>
      <c r="AE362" s="16">
        <f>IF(AB362&gt;='الافتراضات'!$B$9,IF(O362="لا","ابدأ به","جيد – يحتاج شهادة"),IF(AB362&gt;='الافتراضات'!$B$10,"مقبول","ضعيف"))</f>
        <v/>
      </c>
      <c r="AF362" s="16">
        <f>IF((1-'الافتراضات'!$B$9)/(1+'الافتراضات'!$B$6)-P362-'الافتراضات'!$B$7-'الافتراضات'!$B$8&lt;=0,0,(V362+Q362)/((1-'الافتراضات'!$B$9)/(1+'الافتراضات'!$B$6)-P362-'الافتراضات'!$B$7-'الافتراضات'!$B$8))</f>
        <v/>
      </c>
    </row>
    <row r="363">
      <c r="A363" s="10" t="n">
        <v>362</v>
      </c>
      <c r="B363" s="11" t="inlineStr">
        <is>
          <t>المنزل والمطبخ</t>
        </is>
      </c>
      <c r="C363" s="11" t="inlineStr">
        <is>
          <t>مفرش سرير قطن</t>
        </is>
      </c>
      <c r="D363" s="11" t="inlineStr">
        <is>
          <t>cotton bed sheet set</t>
        </is>
      </c>
      <c r="E363" s="12" t="n">
        <v>91</v>
      </c>
      <c r="F363" s="10" t="inlineStr">
        <is>
          <t>تقدير</t>
        </is>
      </c>
      <c r="G363" s="10" t="inlineStr">
        <is>
          <t>تقدير</t>
        </is>
      </c>
      <c r="H363" s="10" t="inlineStr">
        <is>
          <t>لم تُفحص</t>
        </is>
      </c>
      <c r="I363" s="10" t="inlineStr">
        <is>
          <t>لم يُفحص</t>
        </is>
      </c>
      <c r="J363" s="13" t="n">
        <v>8</v>
      </c>
      <c r="K363" s="11" t="inlineStr">
        <is>
          <t>تقدير</t>
        </is>
      </c>
      <c r="L363" s="14" t="n">
        <v>1.4</v>
      </c>
      <c r="M363" s="10" t="inlineStr">
        <is>
          <t>كبير</t>
        </is>
      </c>
      <c r="N363" s="11" t="inlineStr">
        <is>
          <t>طوال السنة</t>
        </is>
      </c>
      <c r="O363" s="11" t="inlineStr">
        <is>
          <t>لا</t>
        </is>
      </c>
      <c r="P363" s="15" t="n">
        <v>0.14</v>
      </c>
      <c r="Q363" s="14" t="n">
        <v>15</v>
      </c>
      <c r="R363" s="14" t="n">
        <v>50</v>
      </c>
      <c r="S363" s="16">
        <f>J363*'الافتراضات'!$B$2*(1+'الافتراضات'!$B$3)</f>
        <v/>
      </c>
      <c r="T363" s="16">
        <f>L363*'الافتراضات'!$B$4</f>
        <v/>
      </c>
      <c r="U363" s="16">
        <f>(S363+T363)*'الافتراضات'!$B$5</f>
        <v/>
      </c>
      <c r="V363" s="16">
        <f>S363+T363+U363</f>
        <v/>
      </c>
      <c r="W363" s="16">
        <f>MAX(1,E363*P363)</f>
        <v/>
      </c>
      <c r="X363" s="16">
        <f>E363*'الافتراضات'!$B$7</f>
        <v/>
      </c>
      <c r="Y363" s="16">
        <f>E363*'الافتراضات'!$B$8</f>
        <v/>
      </c>
      <c r="Z363" s="16">
        <f>E363/(1+'الافتراضات'!$B$6)</f>
        <v/>
      </c>
      <c r="AA363" s="16">
        <f>Z363-V363-W363-Q363-X363-Y363</f>
        <v/>
      </c>
      <c r="AB363" s="17">
        <f>IF(Z363=0,0,AA363/Z363)</f>
        <v/>
      </c>
      <c r="AC363" s="17">
        <f>IF(V363=0,0,AA363/V363)</f>
        <v/>
      </c>
      <c r="AD363" s="18">
        <f>R363*V363</f>
        <v/>
      </c>
      <c r="AE363" s="16">
        <f>IF(AB363&gt;='الافتراضات'!$B$9,IF(O363="لا","ابدأ به","جيد – يحتاج شهادة"),IF(AB363&gt;='الافتراضات'!$B$10,"مقبول","ضعيف"))</f>
        <v/>
      </c>
      <c r="AF363" s="16">
        <f>IF((1-'الافتراضات'!$B$9)/(1+'الافتراضات'!$B$6)-P363-'الافتراضات'!$B$7-'الافتراضات'!$B$8&lt;=0,0,(V363+Q363)/((1-'الافتراضات'!$B$9)/(1+'الافتراضات'!$B$6)-P363-'الافتراضات'!$B$7-'الافتراضات'!$B$8))</f>
        <v/>
      </c>
    </row>
    <row r="364">
      <c r="A364" s="10" t="n">
        <v>363</v>
      </c>
      <c r="B364" s="11" t="inlineStr">
        <is>
          <t>المنزل والمطبخ</t>
        </is>
      </c>
      <c r="C364" s="11" t="inlineStr">
        <is>
          <t>ستائر معتمة تعتيم</t>
        </is>
      </c>
      <c r="D364" s="11" t="inlineStr">
        <is>
          <t>blackout curtains</t>
        </is>
      </c>
      <c r="E364" s="12" t="n">
        <v>91</v>
      </c>
      <c r="F364" s="10" t="inlineStr">
        <is>
          <t>تقدير</t>
        </is>
      </c>
      <c r="G364" s="10" t="inlineStr">
        <is>
          <t>تقدير</t>
        </is>
      </c>
      <c r="H364" s="10" t="inlineStr">
        <is>
          <t>لم تُفحص</t>
        </is>
      </c>
      <c r="I364" s="10" t="inlineStr">
        <is>
          <t>لم يُفحص</t>
        </is>
      </c>
      <c r="J364" s="13" t="n">
        <v>8</v>
      </c>
      <c r="K364" s="11" t="inlineStr">
        <is>
          <t>تقدير</t>
        </is>
      </c>
      <c r="L364" s="14" t="n">
        <v>1.4</v>
      </c>
      <c r="M364" s="10" t="inlineStr">
        <is>
          <t>كبير</t>
        </is>
      </c>
      <c r="N364" s="11" t="inlineStr">
        <is>
          <t>طوال السنة</t>
        </is>
      </c>
      <c r="O364" s="11" t="inlineStr">
        <is>
          <t>لا</t>
        </is>
      </c>
      <c r="P364" s="15" t="n">
        <v>0.14</v>
      </c>
      <c r="Q364" s="14" t="n">
        <v>15</v>
      </c>
      <c r="R364" s="14" t="n">
        <v>50</v>
      </c>
      <c r="S364" s="16">
        <f>J364*'الافتراضات'!$B$2*(1+'الافتراضات'!$B$3)</f>
        <v/>
      </c>
      <c r="T364" s="16">
        <f>L364*'الافتراضات'!$B$4</f>
        <v/>
      </c>
      <c r="U364" s="16">
        <f>(S364+T364)*'الافتراضات'!$B$5</f>
        <v/>
      </c>
      <c r="V364" s="16">
        <f>S364+T364+U364</f>
        <v/>
      </c>
      <c r="W364" s="16">
        <f>MAX(1,E364*P364)</f>
        <v/>
      </c>
      <c r="X364" s="16">
        <f>E364*'الافتراضات'!$B$7</f>
        <v/>
      </c>
      <c r="Y364" s="16">
        <f>E364*'الافتراضات'!$B$8</f>
        <v/>
      </c>
      <c r="Z364" s="16">
        <f>E364/(1+'الافتراضات'!$B$6)</f>
        <v/>
      </c>
      <c r="AA364" s="16">
        <f>Z364-V364-W364-Q364-X364-Y364</f>
        <v/>
      </c>
      <c r="AB364" s="17">
        <f>IF(Z364=0,0,AA364/Z364)</f>
        <v/>
      </c>
      <c r="AC364" s="17">
        <f>IF(V364=0,0,AA364/V364)</f>
        <v/>
      </c>
      <c r="AD364" s="18">
        <f>R364*V364</f>
        <v/>
      </c>
      <c r="AE364" s="16">
        <f>IF(AB364&gt;='الافتراضات'!$B$9,IF(O364="لا","ابدأ به","جيد – يحتاج شهادة"),IF(AB364&gt;='الافتراضات'!$B$10,"مقبول","ضعيف"))</f>
        <v/>
      </c>
      <c r="AF364" s="16">
        <f>IF((1-'الافتراضات'!$B$9)/(1+'الافتراضات'!$B$6)-P364-'الافتراضات'!$B$7-'الافتراضات'!$B$8&lt;=0,0,(V364+Q364)/((1-'الافتراضات'!$B$9)/(1+'الافتراضات'!$B$6)-P364-'الافتراضات'!$B$7-'الافتراضات'!$B$8))</f>
        <v/>
      </c>
    </row>
    <row r="365">
      <c r="A365" s="10" t="n">
        <v>364</v>
      </c>
      <c r="B365" s="11" t="inlineStr">
        <is>
          <t>الحديقة والخارج</t>
        </is>
      </c>
      <c r="C365" s="11" t="inlineStr">
        <is>
          <t>مظلة حديقة</t>
        </is>
      </c>
      <c r="D365" s="11" t="inlineStr">
        <is>
          <t>garden parasol</t>
        </is>
      </c>
      <c r="E365" s="12" t="n">
        <v>204</v>
      </c>
      <c r="F365" s="10" t="inlineStr">
        <is>
          <t>تقدير</t>
        </is>
      </c>
      <c r="G365" s="10" t="inlineStr">
        <is>
          <t>تقدير</t>
        </is>
      </c>
      <c r="H365" s="10" t="inlineStr">
        <is>
          <t>لم تُفحص</t>
        </is>
      </c>
      <c r="I365" s="10" t="inlineStr">
        <is>
          <t>لم يُفحص</t>
        </is>
      </c>
      <c r="J365" s="13" t="n">
        <v>18</v>
      </c>
      <c r="K365" s="11" t="inlineStr">
        <is>
          <t>تقدير</t>
        </is>
      </c>
      <c r="L365" s="14" t="n">
        <v>5</v>
      </c>
      <c r="M365" s="10" t="inlineStr">
        <is>
          <t>كبير</t>
        </is>
      </c>
      <c r="N365" s="11" t="inlineStr">
        <is>
          <t>الصيف</t>
        </is>
      </c>
      <c r="O365" s="11" t="inlineStr">
        <is>
          <t>لا</t>
        </is>
      </c>
      <c r="P365" s="15" t="n">
        <v>0.14</v>
      </c>
      <c r="Q365" s="14" t="n">
        <v>18</v>
      </c>
      <c r="R365" s="14" t="n">
        <v>50</v>
      </c>
      <c r="S365" s="16">
        <f>J365*'الافتراضات'!$B$2*(1+'الافتراضات'!$B$3)</f>
        <v/>
      </c>
      <c r="T365" s="16">
        <f>L365*'الافتراضات'!$B$4</f>
        <v/>
      </c>
      <c r="U365" s="16">
        <f>(S365+T365)*'الافتراضات'!$B$5</f>
        <v/>
      </c>
      <c r="V365" s="16">
        <f>S365+T365+U365</f>
        <v/>
      </c>
      <c r="W365" s="16">
        <f>MAX(1,E365*P365)</f>
        <v/>
      </c>
      <c r="X365" s="16">
        <f>E365*'الافتراضات'!$B$7</f>
        <v/>
      </c>
      <c r="Y365" s="16">
        <f>E365*'الافتراضات'!$B$8</f>
        <v/>
      </c>
      <c r="Z365" s="16">
        <f>E365/(1+'الافتراضات'!$B$6)</f>
        <v/>
      </c>
      <c r="AA365" s="16">
        <f>Z365-V365-W365-Q365-X365-Y365</f>
        <v/>
      </c>
      <c r="AB365" s="17">
        <f>IF(Z365=0,0,AA365/Z365)</f>
        <v/>
      </c>
      <c r="AC365" s="17">
        <f>IF(V365=0,0,AA365/V365)</f>
        <v/>
      </c>
      <c r="AD365" s="18">
        <f>R365*V365</f>
        <v/>
      </c>
      <c r="AE365" s="16">
        <f>IF(AB365&gt;='الافتراضات'!$B$9,IF(O365="لا","ابدأ به","جيد – يحتاج شهادة"),IF(AB365&gt;='الافتراضات'!$B$10,"مقبول","ضعيف"))</f>
        <v/>
      </c>
      <c r="AF365" s="16">
        <f>IF((1-'الافتراضات'!$B$9)/(1+'الافتراضات'!$B$6)-P365-'الافتراضات'!$B$7-'الافتراضات'!$B$8&lt;=0,0,(V365+Q365)/((1-'الافتراضات'!$B$9)/(1+'الافتراضات'!$B$6)-P365-'الافتراضات'!$B$7-'الافتراضات'!$B$8))</f>
        <v/>
      </c>
    </row>
    <row r="366">
      <c r="A366" s="10" t="n">
        <v>365</v>
      </c>
      <c r="B366" s="11" t="inlineStr">
        <is>
          <t>المنزل والمطبخ</t>
        </is>
      </c>
      <c r="C366" s="11" t="inlineStr">
        <is>
          <t>محضرة طعام صغيرة كهربائية</t>
        </is>
      </c>
      <c r="D366" s="11" t="inlineStr">
        <is>
          <t>mini electric food chopper</t>
        </is>
      </c>
      <c r="E366" s="12" t="n">
        <v>62</v>
      </c>
      <c r="F366" s="10" t="inlineStr">
        <is>
          <t>تقدير</t>
        </is>
      </c>
      <c r="G366" s="10" t="inlineStr">
        <is>
          <t>تقدير</t>
        </is>
      </c>
      <c r="H366" s="10" t="inlineStr">
        <is>
          <t>لم تُفحص</t>
        </is>
      </c>
      <c r="I366" s="10" t="inlineStr">
        <is>
          <t>لم يُفحص</t>
        </is>
      </c>
      <c r="J366" s="13" t="n">
        <v>5.5</v>
      </c>
      <c r="K366" s="11" t="inlineStr">
        <is>
          <t>تقدير</t>
        </is>
      </c>
      <c r="L366" s="14" t="n">
        <v>0.9</v>
      </c>
      <c r="M366" s="10" t="inlineStr">
        <is>
          <t>متوسط</t>
        </is>
      </c>
      <c r="N366" s="11" t="inlineStr">
        <is>
          <t>طوال السنة</t>
        </is>
      </c>
      <c r="O366" s="11" t="inlineStr">
        <is>
          <t>SABER</t>
        </is>
      </c>
      <c r="P366" s="15" t="n">
        <v>0.15</v>
      </c>
      <c r="Q366" s="14" t="n">
        <v>10</v>
      </c>
      <c r="R366" s="14" t="n">
        <v>50</v>
      </c>
      <c r="S366" s="16">
        <f>J366*'الافتراضات'!$B$2*(1+'الافتراضات'!$B$3)</f>
        <v/>
      </c>
      <c r="T366" s="16">
        <f>L366*'الافتراضات'!$B$4</f>
        <v/>
      </c>
      <c r="U366" s="16">
        <f>(S366+T366)*'الافتراضات'!$B$5</f>
        <v/>
      </c>
      <c r="V366" s="16">
        <f>S366+T366+U366</f>
        <v/>
      </c>
      <c r="W366" s="16">
        <f>MAX(1,E366*P366)</f>
        <v/>
      </c>
      <c r="X366" s="16">
        <f>E366*'الافتراضات'!$B$7</f>
        <v/>
      </c>
      <c r="Y366" s="16">
        <f>E366*'الافتراضات'!$B$8</f>
        <v/>
      </c>
      <c r="Z366" s="16">
        <f>E366/(1+'الافتراضات'!$B$6)</f>
        <v/>
      </c>
      <c r="AA366" s="16">
        <f>Z366-V366-W366-Q366-X366-Y366</f>
        <v/>
      </c>
      <c r="AB366" s="17">
        <f>IF(Z366=0,0,AA366/Z366)</f>
        <v/>
      </c>
      <c r="AC366" s="17">
        <f>IF(V366=0,0,AA366/V366)</f>
        <v/>
      </c>
      <c r="AD366" s="18">
        <f>R366*V366</f>
        <v/>
      </c>
      <c r="AE366" s="16">
        <f>IF(AB366&gt;='الافتراضات'!$B$9,IF(O366="لا","ابدأ به","جيد – يحتاج شهادة"),IF(AB366&gt;='الافتراضات'!$B$10,"مقبول","ضعيف"))</f>
        <v/>
      </c>
      <c r="AF366" s="16">
        <f>IF((1-'الافتراضات'!$B$9)/(1+'الافتراضات'!$B$6)-P366-'الافتراضات'!$B$7-'الافتراضات'!$B$8&lt;=0,0,(V366+Q366)/((1-'الافتراضات'!$B$9)/(1+'الافتراضات'!$B$6)-P366-'الافتراضات'!$B$7-'الافتراضات'!$B$8))</f>
        <v/>
      </c>
    </row>
    <row r="367">
      <c r="A367" s="10" t="n">
        <v>366</v>
      </c>
      <c r="B367" s="11" t="inlineStr">
        <is>
          <t>الإضاءة والديكور</t>
        </is>
      </c>
      <c r="C367" s="11" t="inlineStr">
        <is>
          <t>مصباح قراءة بمشبك</t>
        </is>
      </c>
      <c r="D367" s="11" t="inlineStr">
        <is>
          <t>clip reading light</t>
        </is>
      </c>
      <c r="E367" s="12" t="n">
        <v>25</v>
      </c>
      <c r="F367" s="10" t="inlineStr">
        <is>
          <t>تقدير</t>
        </is>
      </c>
      <c r="G367" s="10" t="inlineStr">
        <is>
          <t>تقدير</t>
        </is>
      </c>
      <c r="H367" s="10" t="inlineStr">
        <is>
          <t>لم تُفحص</t>
        </is>
      </c>
      <c r="I367" s="10" t="inlineStr">
        <is>
          <t>لم يُفحص</t>
        </is>
      </c>
      <c r="J367" s="13" t="n">
        <v>2</v>
      </c>
      <c r="K367" s="11" t="inlineStr">
        <is>
          <t>تقدير</t>
        </is>
      </c>
      <c r="L367" s="14" t="n">
        <v>0.15</v>
      </c>
      <c r="M367" s="10" t="inlineStr">
        <is>
          <t>صغير</t>
        </is>
      </c>
      <c r="N367" s="11" t="inlineStr">
        <is>
          <t>طوال السنة</t>
        </is>
      </c>
      <c r="O367" s="11" t="inlineStr">
        <is>
          <t>SABER + بطارية ليثيوم</t>
        </is>
      </c>
      <c r="P367" s="15" t="n">
        <v>0.14</v>
      </c>
      <c r="Q367" s="14" t="n">
        <v>7</v>
      </c>
      <c r="R367" s="14" t="n">
        <v>50</v>
      </c>
      <c r="S367" s="16">
        <f>J367*'الافتراضات'!$B$2*(1+'الافتراضات'!$B$3)</f>
        <v/>
      </c>
      <c r="T367" s="16">
        <f>L367*'الافتراضات'!$B$4</f>
        <v/>
      </c>
      <c r="U367" s="16">
        <f>(S367+T367)*'الافتراضات'!$B$5</f>
        <v/>
      </c>
      <c r="V367" s="16">
        <f>S367+T367+U367</f>
        <v/>
      </c>
      <c r="W367" s="16">
        <f>MAX(1,E367*P367)</f>
        <v/>
      </c>
      <c r="X367" s="16">
        <f>E367*'الافتراضات'!$B$7</f>
        <v/>
      </c>
      <c r="Y367" s="16">
        <f>E367*'الافتراضات'!$B$8</f>
        <v/>
      </c>
      <c r="Z367" s="16">
        <f>E367/(1+'الافتراضات'!$B$6)</f>
        <v/>
      </c>
      <c r="AA367" s="16">
        <f>Z367-V367-W367-Q367-X367-Y367</f>
        <v/>
      </c>
      <c r="AB367" s="17">
        <f>IF(Z367=0,0,AA367/Z367)</f>
        <v/>
      </c>
      <c r="AC367" s="17">
        <f>IF(V367=0,0,AA367/V367)</f>
        <v/>
      </c>
      <c r="AD367" s="18">
        <f>R367*V367</f>
        <v/>
      </c>
      <c r="AE367" s="16">
        <f>IF(AB367&gt;='الافتراضات'!$B$9,IF(O367="لا","ابدأ به","جيد – يحتاج شهادة"),IF(AB367&gt;='الافتراضات'!$B$10,"مقبول","ضعيف"))</f>
        <v/>
      </c>
      <c r="AF367" s="16">
        <f>IF((1-'الافتراضات'!$B$9)/(1+'الافتراضات'!$B$6)-P367-'الافتراضات'!$B$7-'الافتراضات'!$B$8&lt;=0,0,(V367+Q367)/((1-'الافتراضات'!$B$9)/(1+'الافتراضات'!$B$6)-P367-'الافتراضات'!$B$7-'الافتراضات'!$B$8))</f>
        <v/>
      </c>
    </row>
    <row r="368">
      <c r="A368" s="10" t="n">
        <v>367</v>
      </c>
      <c r="B368" s="11" t="inlineStr">
        <is>
          <t>المنزل والمطبخ</t>
        </is>
      </c>
      <c r="C368" s="11" t="inlineStr">
        <is>
          <t>مكواة بخار منزلية</t>
        </is>
      </c>
      <c r="D368" s="11" t="inlineStr">
        <is>
          <t>steam iron 2000W</t>
        </is>
      </c>
      <c r="E368" s="12" t="n">
        <v>79</v>
      </c>
      <c r="F368" s="10" t="inlineStr">
        <is>
          <t>تقدير</t>
        </is>
      </c>
      <c r="G368" s="10" t="inlineStr">
        <is>
          <t>تقدير</t>
        </is>
      </c>
      <c r="H368" s="10" t="inlineStr">
        <is>
          <t>لم تُفحص</t>
        </is>
      </c>
      <c r="I368" s="10" t="inlineStr">
        <is>
          <t>لم يُفحص</t>
        </is>
      </c>
      <c r="J368" s="13" t="n">
        <v>7</v>
      </c>
      <c r="K368" s="11" t="inlineStr">
        <is>
          <t>تقدير</t>
        </is>
      </c>
      <c r="L368" s="14" t="n">
        <v>1.3</v>
      </c>
      <c r="M368" s="10" t="inlineStr">
        <is>
          <t>متوسط</t>
        </is>
      </c>
      <c r="N368" s="11" t="inlineStr">
        <is>
          <t>طوال السنة</t>
        </is>
      </c>
      <c r="O368" s="11" t="inlineStr">
        <is>
          <t>SABER</t>
        </is>
      </c>
      <c r="P368" s="15" t="n">
        <v>0.15</v>
      </c>
      <c r="Q368" s="14" t="n">
        <v>11.5</v>
      </c>
      <c r="R368" s="14" t="n">
        <v>50</v>
      </c>
      <c r="S368" s="16">
        <f>J368*'الافتراضات'!$B$2*(1+'الافتراضات'!$B$3)</f>
        <v/>
      </c>
      <c r="T368" s="16">
        <f>L368*'الافتراضات'!$B$4</f>
        <v/>
      </c>
      <c r="U368" s="16">
        <f>(S368+T368)*'الافتراضات'!$B$5</f>
        <v/>
      </c>
      <c r="V368" s="16">
        <f>S368+T368+U368</f>
        <v/>
      </c>
      <c r="W368" s="16">
        <f>MAX(1,E368*P368)</f>
        <v/>
      </c>
      <c r="X368" s="16">
        <f>E368*'الافتراضات'!$B$7</f>
        <v/>
      </c>
      <c r="Y368" s="16">
        <f>E368*'الافتراضات'!$B$8</f>
        <v/>
      </c>
      <c r="Z368" s="16">
        <f>E368/(1+'الافتراضات'!$B$6)</f>
        <v/>
      </c>
      <c r="AA368" s="16">
        <f>Z368-V368-W368-Q368-X368-Y368</f>
        <v/>
      </c>
      <c r="AB368" s="17">
        <f>IF(Z368=0,0,AA368/Z368)</f>
        <v/>
      </c>
      <c r="AC368" s="17">
        <f>IF(V368=0,0,AA368/V368)</f>
        <v/>
      </c>
      <c r="AD368" s="18">
        <f>R368*V368</f>
        <v/>
      </c>
      <c r="AE368" s="16">
        <f>IF(AB368&gt;='الافتراضات'!$B$9,IF(O368="لا","ابدأ به","جيد – يحتاج شهادة"),IF(AB368&gt;='الافتراضات'!$B$10,"مقبول","ضعيف"))</f>
        <v/>
      </c>
      <c r="AF368" s="16">
        <f>IF((1-'الافتراضات'!$B$9)/(1+'الافتراضات'!$B$6)-P368-'الافتراضات'!$B$7-'الافتراضات'!$B$8&lt;=0,0,(V368+Q368)/((1-'الافتراضات'!$B$9)/(1+'الافتراضات'!$B$6)-P368-'الافتراضات'!$B$7-'الافتراضات'!$B$8))</f>
        <v/>
      </c>
    </row>
    <row r="369">
      <c r="A369" s="10" t="n">
        <v>368</v>
      </c>
      <c r="B369" s="11" t="inlineStr">
        <is>
          <t>التخييم والسفر</t>
        </is>
      </c>
      <c r="C369" s="11" t="inlineStr">
        <is>
          <t>موقد غاز صغير للرحلات</t>
        </is>
      </c>
      <c r="D369" s="11" t="inlineStr">
        <is>
          <t>portable camping gas stove</t>
        </is>
      </c>
      <c r="E369" s="12" t="n">
        <v>57</v>
      </c>
      <c r="F369" s="10" t="inlineStr">
        <is>
          <t>تقدير</t>
        </is>
      </c>
      <c r="G369" s="10" t="inlineStr">
        <is>
          <t>تقدير</t>
        </is>
      </c>
      <c r="H369" s="10" t="inlineStr">
        <is>
          <t>لم تُفحص</t>
        </is>
      </c>
      <c r="I369" s="10" t="inlineStr">
        <is>
          <t>لم يُفحص</t>
        </is>
      </c>
      <c r="J369" s="13" t="n">
        <v>5</v>
      </c>
      <c r="K369" s="11" t="inlineStr">
        <is>
          <t>تقدير</t>
        </is>
      </c>
      <c r="L369" s="14" t="n">
        <v>0.9</v>
      </c>
      <c r="M369" s="10" t="inlineStr">
        <is>
          <t>متوسط</t>
        </is>
      </c>
      <c r="N369" s="11" t="inlineStr">
        <is>
          <t>الشتاء والكشتات</t>
        </is>
      </c>
      <c r="O369" s="11" t="inlineStr">
        <is>
          <t>تحقق من اللوائح</t>
        </is>
      </c>
      <c r="P369" s="15" t="n">
        <v>0.13</v>
      </c>
      <c r="Q369" s="14" t="n">
        <v>10</v>
      </c>
      <c r="R369" s="14" t="n">
        <v>50</v>
      </c>
      <c r="S369" s="16">
        <f>J369*'الافتراضات'!$B$2*(1+'الافتراضات'!$B$3)</f>
        <v/>
      </c>
      <c r="T369" s="16">
        <f>L369*'الافتراضات'!$B$4</f>
        <v/>
      </c>
      <c r="U369" s="16">
        <f>(S369+T369)*'الافتراضات'!$B$5</f>
        <v/>
      </c>
      <c r="V369" s="16">
        <f>S369+T369+U369</f>
        <v/>
      </c>
      <c r="W369" s="16">
        <f>MAX(1,E369*P369)</f>
        <v/>
      </c>
      <c r="X369" s="16">
        <f>E369*'الافتراضات'!$B$7</f>
        <v/>
      </c>
      <c r="Y369" s="16">
        <f>E369*'الافتراضات'!$B$8</f>
        <v/>
      </c>
      <c r="Z369" s="16">
        <f>E369/(1+'الافتراضات'!$B$6)</f>
        <v/>
      </c>
      <c r="AA369" s="16">
        <f>Z369-V369-W369-Q369-X369-Y369</f>
        <v/>
      </c>
      <c r="AB369" s="17">
        <f>IF(Z369=0,0,AA369/Z369)</f>
        <v/>
      </c>
      <c r="AC369" s="17">
        <f>IF(V369=0,0,AA369/V369)</f>
        <v/>
      </c>
      <c r="AD369" s="18">
        <f>R369*V369</f>
        <v/>
      </c>
      <c r="AE369" s="16">
        <f>IF(AB369&gt;='الافتراضات'!$B$9,IF(O369="لا","ابدأ به","جيد – يحتاج شهادة"),IF(AB369&gt;='الافتراضات'!$B$10,"مقبول","ضعيف"))</f>
        <v/>
      </c>
      <c r="AF369" s="16">
        <f>IF((1-'الافتراضات'!$B$9)/(1+'الافتراضات'!$B$6)-P369-'الافتراضات'!$B$7-'الافتراضات'!$B$8&lt;=0,0,(V369+Q369)/((1-'الافتراضات'!$B$9)/(1+'الافتراضات'!$B$6)-P369-'الافتراضات'!$B$7-'الافتراضات'!$B$8))</f>
        <v/>
      </c>
    </row>
    <row r="370">
      <c r="A370" s="10" t="n">
        <v>369</v>
      </c>
      <c r="B370" s="11" t="inlineStr">
        <is>
          <t>التخييم والسفر</t>
        </is>
      </c>
      <c r="C370" s="11" t="inlineStr">
        <is>
          <t>قارورة ماء ستانلس للرحلات</t>
        </is>
      </c>
      <c r="D370" s="11" t="inlineStr">
        <is>
          <t>insulated water bottle 1L</t>
        </is>
      </c>
      <c r="E370" s="12" t="n">
        <v>45</v>
      </c>
      <c r="F370" s="10" t="inlineStr">
        <is>
          <t>تقدير</t>
        </is>
      </c>
      <c r="G370" s="10" t="inlineStr">
        <is>
          <t>تقدير</t>
        </is>
      </c>
      <c r="H370" s="10" t="inlineStr">
        <is>
          <t>لم تُفحص</t>
        </is>
      </c>
      <c r="I370" s="10" t="inlineStr">
        <is>
          <t>لم يُفحص</t>
        </is>
      </c>
      <c r="J370" s="13" t="n">
        <v>4</v>
      </c>
      <c r="K370" s="11" t="inlineStr">
        <is>
          <t>تقدير</t>
        </is>
      </c>
      <c r="L370" s="14" t="n">
        <v>0.5</v>
      </c>
      <c r="M370" s="10" t="inlineStr">
        <is>
          <t>متوسط</t>
        </is>
      </c>
      <c r="N370" s="11" t="inlineStr">
        <is>
          <t>طوال السنة</t>
        </is>
      </c>
      <c r="O370" s="11" t="inlineStr">
        <is>
          <t>ملامس للغذاء (SFDA)</t>
        </is>
      </c>
      <c r="P370" s="15" t="n">
        <v>0.13</v>
      </c>
      <c r="Q370" s="14" t="n">
        <v>9.5</v>
      </c>
      <c r="R370" s="14" t="n">
        <v>50</v>
      </c>
      <c r="S370" s="16">
        <f>J370*'الافتراضات'!$B$2*(1+'الافتراضات'!$B$3)</f>
        <v/>
      </c>
      <c r="T370" s="16">
        <f>L370*'الافتراضات'!$B$4</f>
        <v/>
      </c>
      <c r="U370" s="16">
        <f>(S370+T370)*'الافتراضات'!$B$5</f>
        <v/>
      </c>
      <c r="V370" s="16">
        <f>S370+T370+U370</f>
        <v/>
      </c>
      <c r="W370" s="16">
        <f>MAX(1,E370*P370)</f>
        <v/>
      </c>
      <c r="X370" s="16">
        <f>E370*'الافتراضات'!$B$7</f>
        <v/>
      </c>
      <c r="Y370" s="16">
        <f>E370*'الافتراضات'!$B$8</f>
        <v/>
      </c>
      <c r="Z370" s="16">
        <f>E370/(1+'الافتراضات'!$B$6)</f>
        <v/>
      </c>
      <c r="AA370" s="16">
        <f>Z370-V370-W370-Q370-X370-Y370</f>
        <v/>
      </c>
      <c r="AB370" s="17">
        <f>IF(Z370=0,0,AA370/Z370)</f>
        <v/>
      </c>
      <c r="AC370" s="17">
        <f>IF(V370=0,0,AA370/V370)</f>
        <v/>
      </c>
      <c r="AD370" s="18">
        <f>R370*V370</f>
        <v/>
      </c>
      <c r="AE370" s="16">
        <f>IF(AB370&gt;='الافتراضات'!$B$9,IF(O370="لا","ابدأ به","جيد – يحتاج شهادة"),IF(AB370&gt;='الافتراضات'!$B$10,"مقبول","ضعيف"))</f>
        <v/>
      </c>
      <c r="AF370" s="16">
        <f>IF((1-'الافتراضات'!$B$9)/(1+'الافتراضات'!$B$6)-P370-'الافتراضات'!$B$7-'الافتراضات'!$B$8&lt;=0,0,(V370+Q370)/((1-'الافتراضات'!$B$9)/(1+'الافتراضات'!$B$6)-P370-'الافتراضات'!$B$7-'الافتراضات'!$B$8))</f>
        <v/>
      </c>
    </row>
    <row r="371">
      <c r="A371" s="10" t="n">
        <v>370</v>
      </c>
      <c r="B371" s="11" t="inlineStr">
        <is>
          <t>الرياضة واللياقة</t>
        </is>
      </c>
      <c r="C371" s="11" t="inlineStr">
        <is>
          <t>كرة قدم مقاس 5</t>
        </is>
      </c>
      <c r="D371" s="11" t="inlineStr">
        <is>
          <t>football size 5</t>
        </is>
      </c>
      <c r="E371" s="12" t="n">
        <v>45</v>
      </c>
      <c r="F371" s="10" t="inlineStr">
        <is>
          <t>تقدير</t>
        </is>
      </c>
      <c r="G371" s="10" t="inlineStr">
        <is>
          <t>تقدير</t>
        </is>
      </c>
      <c r="H371" s="10" t="inlineStr">
        <is>
          <t>لم تُفحص</t>
        </is>
      </c>
      <c r="I371" s="10" t="inlineStr">
        <is>
          <t>لم يُفحص</t>
        </is>
      </c>
      <c r="J371" s="13" t="n">
        <v>4</v>
      </c>
      <c r="K371" s="11" t="inlineStr">
        <is>
          <t>تقدير</t>
        </is>
      </c>
      <c r="L371" s="14" t="n">
        <v>0.5</v>
      </c>
      <c r="M371" s="10" t="inlineStr">
        <is>
          <t>متوسط</t>
        </is>
      </c>
      <c r="N371" s="11" t="inlineStr">
        <is>
          <t>طوال السنة</t>
        </is>
      </c>
      <c r="O371" s="11" t="inlineStr">
        <is>
          <t>لا</t>
        </is>
      </c>
      <c r="P371" s="15" t="n">
        <v>0.13</v>
      </c>
      <c r="Q371" s="14" t="n">
        <v>9.5</v>
      </c>
      <c r="R371" s="14" t="n">
        <v>50</v>
      </c>
      <c r="S371" s="16">
        <f>J371*'الافتراضات'!$B$2*(1+'الافتراضات'!$B$3)</f>
        <v/>
      </c>
      <c r="T371" s="16">
        <f>L371*'الافتراضات'!$B$4</f>
        <v/>
      </c>
      <c r="U371" s="16">
        <f>(S371+T371)*'الافتراضات'!$B$5</f>
        <v/>
      </c>
      <c r="V371" s="16">
        <f>S371+T371+U371</f>
        <v/>
      </c>
      <c r="W371" s="16">
        <f>MAX(1,E371*P371)</f>
        <v/>
      </c>
      <c r="X371" s="16">
        <f>E371*'الافتراضات'!$B$7</f>
        <v/>
      </c>
      <c r="Y371" s="16">
        <f>E371*'الافتراضات'!$B$8</f>
        <v/>
      </c>
      <c r="Z371" s="16">
        <f>E371/(1+'الافتراضات'!$B$6)</f>
        <v/>
      </c>
      <c r="AA371" s="16">
        <f>Z371-V371-W371-Q371-X371-Y371</f>
        <v/>
      </c>
      <c r="AB371" s="17">
        <f>IF(Z371=0,0,AA371/Z371)</f>
        <v/>
      </c>
      <c r="AC371" s="17">
        <f>IF(V371=0,0,AA371/V371)</f>
        <v/>
      </c>
      <c r="AD371" s="18">
        <f>R371*V371</f>
        <v/>
      </c>
      <c r="AE371" s="16">
        <f>IF(AB371&gt;='الافتراضات'!$B$9,IF(O371="لا","ابدأ به","جيد – يحتاج شهادة"),IF(AB371&gt;='الافتراضات'!$B$10,"مقبول","ضعيف"))</f>
        <v/>
      </c>
      <c r="AF371" s="16">
        <f>IF((1-'الافتراضات'!$B$9)/(1+'الافتراضات'!$B$6)-P371-'الافتراضات'!$B$7-'الافتراضات'!$B$8&lt;=0,0,(V371+Q371)/((1-'الافتراضات'!$B$9)/(1+'الافتراضات'!$B$6)-P371-'الافتراضات'!$B$7-'الافتراضات'!$B$8))</f>
        <v/>
      </c>
    </row>
    <row r="372">
      <c r="A372" s="10" t="n">
        <v>371</v>
      </c>
      <c r="B372" s="11" t="inlineStr">
        <is>
          <t>المنزل والمطبخ</t>
        </is>
      </c>
      <c r="C372" s="11" t="inlineStr">
        <is>
          <t>طقم أكياس تخزين للثلاجة</t>
        </is>
      </c>
      <c r="D372" s="11" t="inlineStr">
        <is>
          <t>zip food storage bags</t>
        </is>
      </c>
      <c r="E372" s="12" t="n">
        <v>25</v>
      </c>
      <c r="F372" s="10" t="inlineStr">
        <is>
          <t>تقدير</t>
        </is>
      </c>
      <c r="G372" s="10" t="inlineStr">
        <is>
          <t>تقدير</t>
        </is>
      </c>
      <c r="H372" s="10" t="inlineStr">
        <is>
          <t>لم تُفحص</t>
        </is>
      </c>
      <c r="I372" s="10" t="inlineStr">
        <is>
          <t>لم يُفحص</t>
        </is>
      </c>
      <c r="J372" s="13" t="n">
        <v>1.4</v>
      </c>
      <c r="K372" s="11" t="inlineStr">
        <is>
          <t>تقدير</t>
        </is>
      </c>
      <c r="L372" s="14" t="n">
        <v>0.4</v>
      </c>
      <c r="M372" s="10" t="inlineStr">
        <is>
          <t>صغير</t>
        </is>
      </c>
      <c r="N372" s="11" t="inlineStr">
        <is>
          <t>طوال السنة</t>
        </is>
      </c>
      <c r="O372" s="11" t="inlineStr">
        <is>
          <t>ملامس للغذاء (SFDA)</t>
        </is>
      </c>
      <c r="P372" s="15" t="n">
        <v>0.14</v>
      </c>
      <c r="Q372" s="14" t="n">
        <v>7.5</v>
      </c>
      <c r="R372" s="14" t="n">
        <v>50</v>
      </c>
      <c r="S372" s="16">
        <f>J372*'الافتراضات'!$B$2*(1+'الافتراضات'!$B$3)</f>
        <v/>
      </c>
      <c r="T372" s="16">
        <f>L372*'الافتراضات'!$B$4</f>
        <v/>
      </c>
      <c r="U372" s="16">
        <f>(S372+T372)*'الافتراضات'!$B$5</f>
        <v/>
      </c>
      <c r="V372" s="16">
        <f>S372+T372+U372</f>
        <v/>
      </c>
      <c r="W372" s="16">
        <f>MAX(1,E372*P372)</f>
        <v/>
      </c>
      <c r="X372" s="16">
        <f>E372*'الافتراضات'!$B$7</f>
        <v/>
      </c>
      <c r="Y372" s="16">
        <f>E372*'الافتراضات'!$B$8</f>
        <v/>
      </c>
      <c r="Z372" s="16">
        <f>E372/(1+'الافتراضات'!$B$6)</f>
        <v/>
      </c>
      <c r="AA372" s="16">
        <f>Z372-V372-W372-Q372-X372-Y372</f>
        <v/>
      </c>
      <c r="AB372" s="17">
        <f>IF(Z372=0,0,AA372/Z372)</f>
        <v/>
      </c>
      <c r="AC372" s="17">
        <f>IF(V372=0,0,AA372/V372)</f>
        <v/>
      </c>
      <c r="AD372" s="18">
        <f>R372*V372</f>
        <v/>
      </c>
      <c r="AE372" s="16">
        <f>IF(AB372&gt;='الافتراضات'!$B$9,IF(O372="لا","ابدأ به","جيد – يحتاج شهادة"),IF(AB372&gt;='الافتراضات'!$B$10,"مقبول","ضعيف"))</f>
        <v/>
      </c>
      <c r="AF372" s="16">
        <f>IF((1-'الافتراضات'!$B$9)/(1+'الافتراضات'!$B$6)-P372-'الافتراضات'!$B$7-'الافتراضات'!$B$8&lt;=0,0,(V372+Q372)/((1-'الافتراضات'!$B$9)/(1+'الافتراضات'!$B$6)-P372-'الافتراضات'!$B$7-'الافتراضات'!$B$8))</f>
        <v/>
      </c>
    </row>
    <row r="373">
      <c r="A373" s="10" t="n">
        <v>372</v>
      </c>
      <c r="B373" s="11" t="inlineStr">
        <is>
          <t>الأدوات والصيانة</t>
        </is>
      </c>
      <c r="C373" s="11" t="inlineStr">
        <is>
          <t>مصباح طوارئ</t>
        </is>
      </c>
      <c r="D373" s="11" t="inlineStr">
        <is>
          <t>emergency light</t>
        </is>
      </c>
      <c r="E373" s="12" t="n">
        <v>40</v>
      </c>
      <c r="F373" s="10" t="inlineStr">
        <is>
          <t>تقدير</t>
        </is>
      </c>
      <c r="G373" s="10" t="inlineStr">
        <is>
          <t>تقدير</t>
        </is>
      </c>
      <c r="H373" s="10" t="inlineStr">
        <is>
          <t>لم تُفحص</t>
        </is>
      </c>
      <c r="I373" s="10" t="inlineStr">
        <is>
          <t>لم يُفحص</t>
        </is>
      </c>
      <c r="J373" s="13" t="n">
        <v>3.5</v>
      </c>
      <c r="K373" s="11" t="inlineStr">
        <is>
          <t>تقدير</t>
        </is>
      </c>
      <c r="L373" s="14" t="n">
        <v>0.3</v>
      </c>
      <c r="M373" s="10" t="inlineStr">
        <is>
          <t>صغير</t>
        </is>
      </c>
      <c r="N373" s="11" t="inlineStr">
        <is>
          <t>طوال السنة</t>
        </is>
      </c>
      <c r="O373" s="11" t="inlineStr">
        <is>
          <t>SABER + بطارية ليثيوم</t>
        </is>
      </c>
      <c r="P373" s="15" t="n">
        <v>0.14</v>
      </c>
      <c r="Q373" s="14" t="n">
        <v>9.5</v>
      </c>
      <c r="R373" s="14" t="n">
        <v>50</v>
      </c>
      <c r="S373" s="16">
        <f>J373*'الافتراضات'!$B$2*(1+'الافتراضات'!$B$3)</f>
        <v/>
      </c>
      <c r="T373" s="16">
        <f>L373*'الافتراضات'!$B$4</f>
        <v/>
      </c>
      <c r="U373" s="16">
        <f>(S373+T373)*'الافتراضات'!$B$5</f>
        <v/>
      </c>
      <c r="V373" s="16">
        <f>S373+T373+U373</f>
        <v/>
      </c>
      <c r="W373" s="16">
        <f>MAX(1,E373*P373)</f>
        <v/>
      </c>
      <c r="X373" s="16">
        <f>E373*'الافتراضات'!$B$7</f>
        <v/>
      </c>
      <c r="Y373" s="16">
        <f>E373*'الافتراضات'!$B$8</f>
        <v/>
      </c>
      <c r="Z373" s="16">
        <f>E373/(1+'الافتراضات'!$B$6)</f>
        <v/>
      </c>
      <c r="AA373" s="16">
        <f>Z373-V373-W373-Q373-X373-Y373</f>
        <v/>
      </c>
      <c r="AB373" s="17">
        <f>IF(Z373=0,0,AA373/Z373)</f>
        <v/>
      </c>
      <c r="AC373" s="17">
        <f>IF(V373=0,0,AA373/V373)</f>
        <v/>
      </c>
      <c r="AD373" s="18">
        <f>R373*V373</f>
        <v/>
      </c>
      <c r="AE373" s="16">
        <f>IF(AB373&gt;='الافتراضات'!$B$9,IF(O373="لا","ابدأ به","جيد – يحتاج شهادة"),IF(AB373&gt;='الافتراضات'!$B$10,"مقبول","ضعيف"))</f>
        <v/>
      </c>
      <c r="AF373" s="16">
        <f>IF((1-'الافتراضات'!$B$9)/(1+'الافتراضات'!$B$6)-P373-'الافتراضات'!$B$7-'الافتراضات'!$B$8&lt;=0,0,(V373+Q373)/((1-'الافتراضات'!$B$9)/(1+'الافتراضات'!$B$6)-P373-'الافتراضات'!$B$7-'الافتراضات'!$B$8))</f>
        <v/>
      </c>
    </row>
    <row r="374">
      <c r="A374" s="10" t="n">
        <v>373</v>
      </c>
      <c r="B374" s="11" t="inlineStr">
        <is>
          <t>الأطفال والألعاب</t>
        </is>
      </c>
      <c r="C374" s="11" t="inlineStr">
        <is>
          <t>قارورة ماء للأطفال بشفاطة</t>
        </is>
      </c>
      <c r="D374" s="11" t="inlineStr">
        <is>
          <t>kids water bottle straw</t>
        </is>
      </c>
      <c r="E374" s="12" t="n">
        <v>25</v>
      </c>
      <c r="F374" s="10" t="inlineStr">
        <is>
          <t>تقدير</t>
        </is>
      </c>
      <c r="G374" s="10" t="inlineStr">
        <is>
          <t>تقدير</t>
        </is>
      </c>
      <c r="H374" s="10" t="inlineStr">
        <is>
          <t>لم تُفحص</t>
        </is>
      </c>
      <c r="I374" s="10" t="inlineStr">
        <is>
          <t>لم يُفحص</t>
        </is>
      </c>
      <c r="J374" s="13" t="n">
        <v>1.6</v>
      </c>
      <c r="K374" s="11" t="inlineStr">
        <is>
          <t>تقدير</t>
        </is>
      </c>
      <c r="L374" s="14" t="n">
        <v>0.3</v>
      </c>
      <c r="M374" s="10" t="inlineStr">
        <is>
          <t>صغير</t>
        </is>
      </c>
      <c r="N374" s="11" t="inlineStr">
        <is>
          <t>العودة للمدارس</t>
        </is>
      </c>
      <c r="O374" s="11" t="inlineStr">
        <is>
          <t>ملامس للغذاء (SFDA)</t>
        </is>
      </c>
      <c r="P374" s="15" t="n">
        <v>0.14</v>
      </c>
      <c r="Q374" s="14" t="n">
        <v>7.5</v>
      </c>
      <c r="R374" s="14" t="n">
        <v>50</v>
      </c>
      <c r="S374" s="16">
        <f>J374*'الافتراضات'!$B$2*(1+'الافتراضات'!$B$3)</f>
        <v/>
      </c>
      <c r="T374" s="16">
        <f>L374*'الافتراضات'!$B$4</f>
        <v/>
      </c>
      <c r="U374" s="16">
        <f>(S374+T374)*'الافتراضات'!$B$5</f>
        <v/>
      </c>
      <c r="V374" s="16">
        <f>S374+T374+U374</f>
        <v/>
      </c>
      <c r="W374" s="16">
        <f>MAX(1,E374*P374)</f>
        <v/>
      </c>
      <c r="X374" s="16">
        <f>E374*'الافتراضات'!$B$7</f>
        <v/>
      </c>
      <c r="Y374" s="16">
        <f>E374*'الافتراضات'!$B$8</f>
        <v/>
      </c>
      <c r="Z374" s="16">
        <f>E374/(1+'الافتراضات'!$B$6)</f>
        <v/>
      </c>
      <c r="AA374" s="16">
        <f>Z374-V374-W374-Q374-X374-Y374</f>
        <v/>
      </c>
      <c r="AB374" s="17">
        <f>IF(Z374=0,0,AA374/Z374)</f>
        <v/>
      </c>
      <c r="AC374" s="17">
        <f>IF(V374=0,0,AA374/V374)</f>
        <v/>
      </c>
      <c r="AD374" s="18">
        <f>R374*V374</f>
        <v/>
      </c>
      <c r="AE374" s="16">
        <f>IF(AB374&gt;='الافتراضات'!$B$9,IF(O374="لا","ابدأ به","جيد – يحتاج شهادة"),IF(AB374&gt;='الافتراضات'!$B$10,"مقبول","ضعيف"))</f>
        <v/>
      </c>
      <c r="AF374" s="16">
        <f>IF((1-'الافتراضات'!$B$9)/(1+'الافتراضات'!$B$6)-P374-'الافتراضات'!$B$7-'الافتراضات'!$B$8&lt;=0,0,(V374+Q374)/((1-'الافتراضات'!$B$9)/(1+'الافتراضات'!$B$6)-P374-'الافتراضات'!$B$7-'الافتراضات'!$B$8))</f>
        <v/>
      </c>
    </row>
    <row r="375">
      <c r="A375" s="10" t="n">
        <v>374</v>
      </c>
      <c r="B375" s="11" t="inlineStr">
        <is>
          <t>الرياضة واللياقة</t>
        </is>
      </c>
      <c r="C375" s="11" t="inlineStr">
        <is>
          <t>قفازات رياضية للجيم</t>
        </is>
      </c>
      <c r="D375" s="11" t="inlineStr">
        <is>
          <t>gym gloves workout</t>
        </is>
      </c>
      <c r="E375" s="12" t="n">
        <v>25</v>
      </c>
      <c r="F375" s="10" t="inlineStr">
        <is>
          <t>تقدير</t>
        </is>
      </c>
      <c r="G375" s="10" t="inlineStr">
        <is>
          <t>تقدير</t>
        </is>
      </c>
      <c r="H375" s="10" t="inlineStr">
        <is>
          <t>لم تُفحص</t>
        </is>
      </c>
      <c r="I375" s="10" t="inlineStr">
        <is>
          <t>لم يُفحص</t>
        </is>
      </c>
      <c r="J375" s="13" t="n">
        <v>2</v>
      </c>
      <c r="K375" s="11" t="inlineStr">
        <is>
          <t>تقدير</t>
        </is>
      </c>
      <c r="L375" s="14" t="n">
        <v>0.1</v>
      </c>
      <c r="M375" s="10" t="inlineStr">
        <is>
          <t>صغير</t>
        </is>
      </c>
      <c r="N375" s="11" t="inlineStr">
        <is>
          <t>طوال السنة</t>
        </is>
      </c>
      <c r="O375" s="11" t="inlineStr">
        <is>
          <t>لا</t>
        </is>
      </c>
      <c r="P375" s="15" t="n">
        <v>0.2</v>
      </c>
      <c r="Q375" s="14" t="n">
        <v>6</v>
      </c>
      <c r="R375" s="14" t="n">
        <v>50</v>
      </c>
      <c r="S375" s="16">
        <f>J375*'الافتراضات'!$B$2*(1+'الافتراضات'!$B$3)</f>
        <v/>
      </c>
      <c r="T375" s="16">
        <f>L375*'الافتراضات'!$B$4</f>
        <v/>
      </c>
      <c r="U375" s="16">
        <f>(S375+T375)*'الافتراضات'!$B$5</f>
        <v/>
      </c>
      <c r="V375" s="16">
        <f>S375+T375+U375</f>
        <v/>
      </c>
      <c r="W375" s="16">
        <f>MAX(1,E375*P375)</f>
        <v/>
      </c>
      <c r="X375" s="16">
        <f>E375*'الافتراضات'!$B$7</f>
        <v/>
      </c>
      <c r="Y375" s="16">
        <f>E375*'الافتراضات'!$B$8</f>
        <v/>
      </c>
      <c r="Z375" s="16">
        <f>E375/(1+'الافتراضات'!$B$6)</f>
        <v/>
      </c>
      <c r="AA375" s="16">
        <f>Z375-V375-W375-Q375-X375-Y375</f>
        <v/>
      </c>
      <c r="AB375" s="17">
        <f>IF(Z375=0,0,AA375/Z375)</f>
        <v/>
      </c>
      <c r="AC375" s="17">
        <f>IF(V375=0,0,AA375/V375)</f>
        <v/>
      </c>
      <c r="AD375" s="18">
        <f>R375*V375</f>
        <v/>
      </c>
      <c r="AE375" s="16">
        <f>IF(AB375&gt;='الافتراضات'!$B$9,IF(O375="لا","ابدأ به","جيد – يحتاج شهادة"),IF(AB375&gt;='الافتراضات'!$B$10,"مقبول","ضعيف"))</f>
        <v/>
      </c>
      <c r="AF375" s="16">
        <f>IF((1-'الافتراضات'!$B$9)/(1+'الافتراضات'!$B$6)-P375-'الافتراضات'!$B$7-'الافتراضات'!$B$8&lt;=0,0,(V375+Q375)/((1-'الافتراضات'!$B$9)/(1+'الافتراضات'!$B$6)-P375-'الافتراضات'!$B$7-'الافتراضات'!$B$8))</f>
        <v/>
      </c>
    </row>
    <row r="376">
      <c r="A376" s="10" t="n">
        <v>375</v>
      </c>
      <c r="B376" s="11" t="inlineStr">
        <is>
          <t>الأطفال والألعاب</t>
        </is>
      </c>
      <c r="C376" s="11" t="inlineStr">
        <is>
          <t>مطبخ العاب للأطفال</t>
        </is>
      </c>
      <c r="D376" s="11" t="inlineStr">
        <is>
          <t>kids play kitchen set</t>
        </is>
      </c>
      <c r="E376" s="12" t="n">
        <v>124</v>
      </c>
      <c r="F376" s="10" t="inlineStr">
        <is>
          <t>تقدير</t>
        </is>
      </c>
      <c r="G376" s="10" t="inlineStr">
        <is>
          <t>تقدير</t>
        </is>
      </c>
      <c r="H376" s="10" t="inlineStr">
        <is>
          <t>لم تُفحص</t>
        </is>
      </c>
      <c r="I376" s="10" t="inlineStr">
        <is>
          <t>لم يُفحص</t>
        </is>
      </c>
      <c r="J376" s="13" t="n">
        <v>11</v>
      </c>
      <c r="K376" s="11" t="inlineStr">
        <is>
          <t>تقدير</t>
        </is>
      </c>
      <c r="L376" s="14" t="n">
        <v>2.5</v>
      </c>
      <c r="M376" s="10" t="inlineStr">
        <is>
          <t>كبير</t>
        </is>
      </c>
      <c r="N376" s="11" t="inlineStr">
        <is>
          <t>طوال السنة</t>
        </is>
      </c>
      <c r="O376" s="11" t="inlineStr">
        <is>
          <t>اشتراطات سلامة الألعاب</t>
        </is>
      </c>
      <c r="P376" s="15" t="n">
        <v>0.14</v>
      </c>
      <c r="Q376" s="14" t="n">
        <v>16</v>
      </c>
      <c r="R376" s="14" t="n">
        <v>50</v>
      </c>
      <c r="S376" s="16">
        <f>J376*'الافتراضات'!$B$2*(1+'الافتراضات'!$B$3)</f>
        <v/>
      </c>
      <c r="T376" s="16">
        <f>L376*'الافتراضات'!$B$4</f>
        <v/>
      </c>
      <c r="U376" s="16">
        <f>(S376+T376)*'الافتراضات'!$B$5</f>
        <v/>
      </c>
      <c r="V376" s="16">
        <f>S376+T376+U376</f>
        <v/>
      </c>
      <c r="W376" s="16">
        <f>MAX(1,E376*P376)</f>
        <v/>
      </c>
      <c r="X376" s="16">
        <f>E376*'الافتراضات'!$B$7</f>
        <v/>
      </c>
      <c r="Y376" s="16">
        <f>E376*'الافتراضات'!$B$8</f>
        <v/>
      </c>
      <c r="Z376" s="16">
        <f>E376/(1+'الافتراضات'!$B$6)</f>
        <v/>
      </c>
      <c r="AA376" s="16">
        <f>Z376-V376-W376-Q376-X376-Y376</f>
        <v/>
      </c>
      <c r="AB376" s="17">
        <f>IF(Z376=0,0,AA376/Z376)</f>
        <v/>
      </c>
      <c r="AC376" s="17">
        <f>IF(V376=0,0,AA376/V376)</f>
        <v/>
      </c>
      <c r="AD376" s="18">
        <f>R376*V376</f>
        <v/>
      </c>
      <c r="AE376" s="16">
        <f>IF(AB376&gt;='الافتراضات'!$B$9,IF(O376="لا","ابدأ به","جيد – يحتاج شهادة"),IF(AB376&gt;='الافتراضات'!$B$10,"مقبول","ضعيف"))</f>
        <v/>
      </c>
      <c r="AF376" s="16">
        <f>IF((1-'الافتراضات'!$B$9)/(1+'الافتراضات'!$B$6)-P376-'الافتراضات'!$B$7-'الافتراضات'!$B$8&lt;=0,0,(V376+Q376)/((1-'الافتراضات'!$B$9)/(1+'الافتراضات'!$B$6)-P376-'الافتراضات'!$B$7-'الافتراضات'!$B$8))</f>
        <v/>
      </c>
    </row>
    <row r="377">
      <c r="A377" s="10" t="n">
        <v>376</v>
      </c>
      <c r="B377" s="11" t="inlineStr">
        <is>
          <t>المكتب والدراسة</t>
        </is>
      </c>
      <c r="C377" s="11" t="inlineStr">
        <is>
          <t>طقم رسم احترافي</t>
        </is>
      </c>
      <c r="D377" s="11" t="inlineStr">
        <is>
          <t>drawing sketching kit</t>
        </is>
      </c>
      <c r="E377" s="12" t="n">
        <v>57</v>
      </c>
      <c r="F377" s="10" t="inlineStr">
        <is>
          <t>تقدير</t>
        </is>
      </c>
      <c r="G377" s="10" t="inlineStr">
        <is>
          <t>تقدير</t>
        </is>
      </c>
      <c r="H377" s="10" t="inlineStr">
        <is>
          <t>لم تُفحص</t>
        </is>
      </c>
      <c r="I377" s="10" t="inlineStr">
        <is>
          <t>لم يُفحص</t>
        </is>
      </c>
      <c r="J377" s="13" t="n">
        <v>5</v>
      </c>
      <c r="K377" s="11" t="inlineStr">
        <is>
          <t>تقدير</t>
        </is>
      </c>
      <c r="L377" s="14" t="n">
        <v>1</v>
      </c>
      <c r="M377" s="10" t="inlineStr">
        <is>
          <t>متوسط</t>
        </is>
      </c>
      <c r="N377" s="11" t="inlineStr">
        <is>
          <t>العودة للمدارس</t>
        </is>
      </c>
      <c r="O377" s="11" t="inlineStr">
        <is>
          <t>لا</t>
        </is>
      </c>
      <c r="P377" s="15" t="n">
        <v>0.12</v>
      </c>
      <c r="Q377" s="14" t="n">
        <v>10</v>
      </c>
      <c r="R377" s="14" t="n">
        <v>50</v>
      </c>
      <c r="S377" s="16">
        <f>J377*'الافتراضات'!$B$2*(1+'الافتراضات'!$B$3)</f>
        <v/>
      </c>
      <c r="T377" s="16">
        <f>L377*'الافتراضات'!$B$4</f>
        <v/>
      </c>
      <c r="U377" s="16">
        <f>(S377+T377)*'الافتراضات'!$B$5</f>
        <v/>
      </c>
      <c r="V377" s="16">
        <f>S377+T377+U377</f>
        <v/>
      </c>
      <c r="W377" s="16">
        <f>MAX(1,E377*P377)</f>
        <v/>
      </c>
      <c r="X377" s="16">
        <f>E377*'الافتراضات'!$B$7</f>
        <v/>
      </c>
      <c r="Y377" s="16">
        <f>E377*'الافتراضات'!$B$8</f>
        <v/>
      </c>
      <c r="Z377" s="16">
        <f>E377/(1+'الافتراضات'!$B$6)</f>
        <v/>
      </c>
      <c r="AA377" s="16">
        <f>Z377-V377-W377-Q377-X377-Y377</f>
        <v/>
      </c>
      <c r="AB377" s="17">
        <f>IF(Z377=0,0,AA377/Z377)</f>
        <v/>
      </c>
      <c r="AC377" s="17">
        <f>IF(V377=0,0,AA377/V377)</f>
        <v/>
      </c>
      <c r="AD377" s="18">
        <f>R377*V377</f>
        <v/>
      </c>
      <c r="AE377" s="16">
        <f>IF(AB377&gt;='الافتراضات'!$B$9,IF(O377="لا","ابدأ به","جيد – يحتاج شهادة"),IF(AB377&gt;='الافتراضات'!$B$10,"مقبول","ضعيف"))</f>
        <v/>
      </c>
      <c r="AF377" s="16">
        <f>IF((1-'الافتراضات'!$B$9)/(1+'الافتراضات'!$B$6)-P377-'الافتراضات'!$B$7-'الافتراضات'!$B$8&lt;=0,0,(V377+Q377)/((1-'الافتراضات'!$B$9)/(1+'الافتراضات'!$B$6)-P377-'الافتراضات'!$B$7-'الافتراضات'!$B$8))</f>
        <v/>
      </c>
    </row>
    <row r="378">
      <c r="A378" s="10" t="n">
        <v>377</v>
      </c>
      <c r="B378" s="11" t="inlineStr">
        <is>
          <t>المنزل والمطبخ</t>
        </is>
      </c>
      <c r="C378" s="11" t="inlineStr">
        <is>
          <t>مضرب بيض كهربائي</t>
        </is>
      </c>
      <c r="D378" s="11" t="inlineStr">
        <is>
          <t>electric hand mixer</t>
        </is>
      </c>
      <c r="E378" s="12" t="n">
        <v>57</v>
      </c>
      <c r="F378" s="10" t="inlineStr">
        <is>
          <t>تقدير</t>
        </is>
      </c>
      <c r="G378" s="10" t="inlineStr">
        <is>
          <t>تقدير</t>
        </is>
      </c>
      <c r="H378" s="10" t="inlineStr">
        <is>
          <t>لم تُفحص</t>
        </is>
      </c>
      <c r="I378" s="10" t="inlineStr">
        <is>
          <t>لم يُفحص</t>
        </is>
      </c>
      <c r="J378" s="13" t="n">
        <v>5</v>
      </c>
      <c r="K378" s="11" t="inlineStr">
        <is>
          <t>تقدير</t>
        </is>
      </c>
      <c r="L378" s="14" t="n">
        <v>0.8</v>
      </c>
      <c r="M378" s="10" t="inlineStr">
        <is>
          <t>متوسط</t>
        </is>
      </c>
      <c r="N378" s="11" t="inlineStr">
        <is>
          <t>طوال السنة</t>
        </is>
      </c>
      <c r="O378" s="11" t="inlineStr">
        <is>
          <t>SABER</t>
        </is>
      </c>
      <c r="P378" s="15" t="n">
        <v>0.15</v>
      </c>
      <c r="Q378" s="14" t="n">
        <v>10</v>
      </c>
      <c r="R378" s="14" t="n">
        <v>50</v>
      </c>
      <c r="S378" s="16">
        <f>J378*'الافتراضات'!$B$2*(1+'الافتراضات'!$B$3)</f>
        <v/>
      </c>
      <c r="T378" s="16">
        <f>L378*'الافتراضات'!$B$4</f>
        <v/>
      </c>
      <c r="U378" s="16">
        <f>(S378+T378)*'الافتراضات'!$B$5</f>
        <v/>
      </c>
      <c r="V378" s="16">
        <f>S378+T378+U378</f>
        <v/>
      </c>
      <c r="W378" s="16">
        <f>MAX(1,E378*P378)</f>
        <v/>
      </c>
      <c r="X378" s="16">
        <f>E378*'الافتراضات'!$B$7</f>
        <v/>
      </c>
      <c r="Y378" s="16">
        <f>E378*'الافتراضات'!$B$8</f>
        <v/>
      </c>
      <c r="Z378" s="16">
        <f>E378/(1+'الافتراضات'!$B$6)</f>
        <v/>
      </c>
      <c r="AA378" s="16">
        <f>Z378-V378-W378-Q378-X378-Y378</f>
        <v/>
      </c>
      <c r="AB378" s="17">
        <f>IF(Z378=0,0,AA378/Z378)</f>
        <v/>
      </c>
      <c r="AC378" s="17">
        <f>IF(V378=0,0,AA378/V378)</f>
        <v/>
      </c>
      <c r="AD378" s="18">
        <f>R378*V378</f>
        <v/>
      </c>
      <c r="AE378" s="16">
        <f>IF(AB378&gt;='الافتراضات'!$B$9,IF(O378="لا","ابدأ به","جيد – يحتاج شهادة"),IF(AB378&gt;='الافتراضات'!$B$10,"مقبول","ضعيف"))</f>
        <v/>
      </c>
      <c r="AF378" s="16">
        <f>IF((1-'الافتراضات'!$B$9)/(1+'الافتراضات'!$B$6)-P378-'الافتراضات'!$B$7-'الافتراضات'!$B$8&lt;=0,0,(V378+Q378)/((1-'الافتراضات'!$B$9)/(1+'الافتراضات'!$B$6)-P378-'الافتراضات'!$B$7-'الافتراضات'!$B$8))</f>
        <v/>
      </c>
    </row>
    <row r="379">
      <c r="A379" s="10" t="n">
        <v>378</v>
      </c>
      <c r="B379" s="11" t="inlineStr">
        <is>
          <t>التخييم والسفر</t>
        </is>
      </c>
      <c r="C379" s="11" t="inlineStr">
        <is>
          <t>مسبح قابل للنفخ للأطفال</t>
        </is>
      </c>
      <c r="D379" s="11" t="inlineStr">
        <is>
          <t>inflatable kids pool</t>
        </is>
      </c>
      <c r="E379" s="12" t="n">
        <v>91</v>
      </c>
      <c r="F379" s="10" t="inlineStr">
        <is>
          <t>تقدير</t>
        </is>
      </c>
      <c r="G379" s="10" t="inlineStr">
        <is>
          <t>تقدير</t>
        </is>
      </c>
      <c r="H379" s="10" t="inlineStr">
        <is>
          <t>لم تُفحص</t>
        </is>
      </c>
      <c r="I379" s="10" t="inlineStr">
        <is>
          <t>لم يُفحص</t>
        </is>
      </c>
      <c r="J379" s="13" t="n">
        <v>8</v>
      </c>
      <c r="K379" s="11" t="inlineStr">
        <is>
          <t>تقدير</t>
        </is>
      </c>
      <c r="L379" s="14" t="n">
        <v>1.6</v>
      </c>
      <c r="M379" s="10" t="inlineStr">
        <is>
          <t>كبير</t>
        </is>
      </c>
      <c r="N379" s="11" t="inlineStr">
        <is>
          <t>الصيف</t>
        </is>
      </c>
      <c r="O379" s="11" t="inlineStr">
        <is>
          <t>اشتراطات سلامة الألعاب</t>
        </is>
      </c>
      <c r="P379" s="15" t="n">
        <v>0.13</v>
      </c>
      <c r="Q379" s="14" t="n">
        <v>15</v>
      </c>
      <c r="R379" s="14" t="n">
        <v>50</v>
      </c>
      <c r="S379" s="16">
        <f>J379*'الافتراضات'!$B$2*(1+'الافتراضات'!$B$3)</f>
        <v/>
      </c>
      <c r="T379" s="16">
        <f>L379*'الافتراضات'!$B$4</f>
        <v/>
      </c>
      <c r="U379" s="16">
        <f>(S379+T379)*'الافتراضات'!$B$5</f>
        <v/>
      </c>
      <c r="V379" s="16">
        <f>S379+T379+U379</f>
        <v/>
      </c>
      <c r="W379" s="16">
        <f>MAX(1,E379*P379)</f>
        <v/>
      </c>
      <c r="X379" s="16">
        <f>E379*'الافتراضات'!$B$7</f>
        <v/>
      </c>
      <c r="Y379" s="16">
        <f>E379*'الافتراضات'!$B$8</f>
        <v/>
      </c>
      <c r="Z379" s="16">
        <f>E379/(1+'الافتراضات'!$B$6)</f>
        <v/>
      </c>
      <c r="AA379" s="16">
        <f>Z379-V379-W379-Q379-X379-Y379</f>
        <v/>
      </c>
      <c r="AB379" s="17">
        <f>IF(Z379=0,0,AA379/Z379)</f>
        <v/>
      </c>
      <c r="AC379" s="17">
        <f>IF(V379=0,0,AA379/V379)</f>
        <v/>
      </c>
      <c r="AD379" s="18">
        <f>R379*V379</f>
        <v/>
      </c>
      <c r="AE379" s="16">
        <f>IF(AB379&gt;='الافتراضات'!$B$9,IF(O379="لا","ابدأ به","جيد – يحتاج شهادة"),IF(AB379&gt;='الافتراضات'!$B$10,"مقبول","ضعيف"))</f>
        <v/>
      </c>
      <c r="AF379" s="16">
        <f>IF((1-'الافتراضات'!$B$9)/(1+'الافتراضات'!$B$6)-P379-'الافتراضات'!$B$7-'الافتراضات'!$B$8&lt;=0,0,(V379+Q379)/((1-'الافتراضات'!$B$9)/(1+'الافتراضات'!$B$6)-P379-'الافتراضات'!$B$7-'الافتراضات'!$B$8))</f>
        <v/>
      </c>
    </row>
    <row r="380">
      <c r="A380" s="10" t="n">
        <v>379</v>
      </c>
      <c r="B380" s="11" t="inlineStr">
        <is>
          <t>المكتب والدراسة</t>
        </is>
      </c>
      <c r="C380" s="11" t="inlineStr">
        <is>
          <t>طاولة لابتوب قابلة للطي</t>
        </is>
      </c>
      <c r="D380" s="11" t="inlineStr">
        <is>
          <t>foldable laptop desk</t>
        </is>
      </c>
      <c r="E380" s="12" t="n">
        <v>102</v>
      </c>
      <c r="F380" s="10" t="inlineStr">
        <is>
          <t>تقدير</t>
        </is>
      </c>
      <c r="G380" s="10" t="inlineStr">
        <is>
          <t>تقدير</t>
        </is>
      </c>
      <c r="H380" s="10" t="inlineStr">
        <is>
          <t>لم تُفحص</t>
        </is>
      </c>
      <c r="I380" s="10" t="inlineStr">
        <is>
          <t>لم يُفحص</t>
        </is>
      </c>
      <c r="J380" s="13" t="n">
        <v>9</v>
      </c>
      <c r="K380" s="11" t="inlineStr">
        <is>
          <t>تقدير</t>
        </is>
      </c>
      <c r="L380" s="14" t="n">
        <v>2</v>
      </c>
      <c r="M380" s="10" t="inlineStr">
        <is>
          <t>كبير</t>
        </is>
      </c>
      <c r="N380" s="11" t="inlineStr">
        <is>
          <t>طوال السنة</t>
        </is>
      </c>
      <c r="O380" s="11" t="inlineStr">
        <is>
          <t>لا</t>
        </is>
      </c>
      <c r="P380" s="15" t="n">
        <v>0.13</v>
      </c>
      <c r="Q380" s="14" t="n">
        <v>15</v>
      </c>
      <c r="R380" s="14" t="n">
        <v>50</v>
      </c>
      <c r="S380" s="16">
        <f>J380*'الافتراضات'!$B$2*(1+'الافتراضات'!$B$3)</f>
        <v/>
      </c>
      <c r="T380" s="16">
        <f>L380*'الافتراضات'!$B$4</f>
        <v/>
      </c>
      <c r="U380" s="16">
        <f>(S380+T380)*'الافتراضات'!$B$5</f>
        <v/>
      </c>
      <c r="V380" s="16">
        <f>S380+T380+U380</f>
        <v/>
      </c>
      <c r="W380" s="16">
        <f>MAX(1,E380*P380)</f>
        <v/>
      </c>
      <c r="X380" s="16">
        <f>E380*'الافتراضات'!$B$7</f>
        <v/>
      </c>
      <c r="Y380" s="16">
        <f>E380*'الافتراضات'!$B$8</f>
        <v/>
      </c>
      <c r="Z380" s="16">
        <f>E380/(1+'الافتراضات'!$B$6)</f>
        <v/>
      </c>
      <c r="AA380" s="16">
        <f>Z380-V380-W380-Q380-X380-Y380</f>
        <v/>
      </c>
      <c r="AB380" s="17">
        <f>IF(Z380=0,0,AA380/Z380)</f>
        <v/>
      </c>
      <c r="AC380" s="17">
        <f>IF(V380=0,0,AA380/V380)</f>
        <v/>
      </c>
      <c r="AD380" s="18">
        <f>R380*V380</f>
        <v/>
      </c>
      <c r="AE380" s="16">
        <f>IF(AB380&gt;='الافتراضات'!$B$9,IF(O380="لا","ابدأ به","جيد – يحتاج شهادة"),IF(AB380&gt;='الافتراضات'!$B$10,"مقبول","ضعيف"))</f>
        <v/>
      </c>
      <c r="AF380" s="16">
        <f>IF((1-'الافتراضات'!$B$9)/(1+'الافتراضات'!$B$6)-P380-'الافتراضات'!$B$7-'الافتراضات'!$B$8&lt;=0,0,(V380+Q380)/((1-'الافتراضات'!$B$9)/(1+'الافتراضات'!$B$6)-P380-'الافتراضات'!$B$7-'الافتراضات'!$B$8))</f>
        <v/>
      </c>
    </row>
    <row r="381">
      <c r="A381" s="10" t="n">
        <v>380</v>
      </c>
      <c r="B381" s="11" t="inlineStr">
        <is>
          <t>المنزل والمطبخ</t>
        </is>
      </c>
      <c r="C381" s="11" t="inlineStr">
        <is>
          <t>غلاية كهربائية 1.7 لتر ستانلس</t>
        </is>
      </c>
      <c r="D381" s="11" t="inlineStr">
        <is>
          <t>electric kettle 1.7L stainless</t>
        </is>
      </c>
      <c r="E381" s="12" t="n">
        <v>91</v>
      </c>
      <c r="F381" s="10" t="inlineStr">
        <is>
          <t>تقدير</t>
        </is>
      </c>
      <c r="G381" s="10" t="inlineStr">
        <is>
          <t>تقدير</t>
        </is>
      </c>
      <c r="H381" s="10" t="inlineStr">
        <is>
          <t>لم تُفحص</t>
        </is>
      </c>
      <c r="I381" s="10" t="inlineStr">
        <is>
          <t>لم يُفحص</t>
        </is>
      </c>
      <c r="J381" s="13" t="n">
        <v>8</v>
      </c>
      <c r="K381" s="11" t="inlineStr">
        <is>
          <t>تقدير</t>
        </is>
      </c>
      <c r="L381" s="14" t="n">
        <v>1.4</v>
      </c>
      <c r="M381" s="10" t="inlineStr">
        <is>
          <t>كبير</t>
        </is>
      </c>
      <c r="N381" s="11" t="inlineStr">
        <is>
          <t>طوال السنة</t>
        </is>
      </c>
      <c r="O381" s="11" t="inlineStr">
        <is>
          <t>SABER</t>
        </is>
      </c>
      <c r="P381" s="15" t="n">
        <v>0.15</v>
      </c>
      <c r="Q381" s="14" t="n">
        <v>15</v>
      </c>
      <c r="R381" s="14" t="n">
        <v>50</v>
      </c>
      <c r="S381" s="16">
        <f>J381*'الافتراضات'!$B$2*(1+'الافتراضات'!$B$3)</f>
        <v/>
      </c>
      <c r="T381" s="16">
        <f>L381*'الافتراضات'!$B$4</f>
        <v/>
      </c>
      <c r="U381" s="16">
        <f>(S381+T381)*'الافتراضات'!$B$5</f>
        <v/>
      </c>
      <c r="V381" s="16">
        <f>S381+T381+U381</f>
        <v/>
      </c>
      <c r="W381" s="16">
        <f>MAX(1,E381*P381)</f>
        <v/>
      </c>
      <c r="X381" s="16">
        <f>E381*'الافتراضات'!$B$7</f>
        <v/>
      </c>
      <c r="Y381" s="16">
        <f>E381*'الافتراضات'!$B$8</f>
        <v/>
      </c>
      <c r="Z381" s="16">
        <f>E381/(1+'الافتراضات'!$B$6)</f>
        <v/>
      </c>
      <c r="AA381" s="16">
        <f>Z381-V381-W381-Q381-X381-Y381</f>
        <v/>
      </c>
      <c r="AB381" s="17">
        <f>IF(Z381=0,0,AA381/Z381)</f>
        <v/>
      </c>
      <c r="AC381" s="17">
        <f>IF(V381=0,0,AA381/V381)</f>
        <v/>
      </c>
      <c r="AD381" s="18">
        <f>R381*V381</f>
        <v/>
      </c>
      <c r="AE381" s="16">
        <f>IF(AB381&gt;='الافتراضات'!$B$9,IF(O381="لا","ابدأ به","جيد – يحتاج شهادة"),IF(AB381&gt;='الافتراضات'!$B$10,"مقبول","ضعيف"))</f>
        <v/>
      </c>
      <c r="AF381" s="16">
        <f>IF((1-'الافتراضات'!$B$9)/(1+'الافتراضات'!$B$6)-P381-'الافتراضات'!$B$7-'الافتراضات'!$B$8&lt;=0,0,(V381+Q381)/((1-'الافتراضات'!$B$9)/(1+'الافتراضات'!$B$6)-P381-'الافتراضات'!$B$7-'الافتراضات'!$B$8))</f>
        <v/>
      </c>
    </row>
    <row r="382">
      <c r="A382" s="10" t="n">
        <v>381</v>
      </c>
      <c r="B382" s="11" t="inlineStr">
        <is>
          <t>المنزل والمطبخ</t>
        </is>
      </c>
      <c r="C382" s="11" t="inlineStr">
        <is>
          <t>لحاف قطن</t>
        </is>
      </c>
      <c r="D382" s="11" t="inlineStr">
        <is>
          <t>comforter duvet cotton</t>
        </is>
      </c>
      <c r="E382" s="12" t="n">
        <v>136</v>
      </c>
      <c r="F382" s="10" t="inlineStr">
        <is>
          <t>تقدير</t>
        </is>
      </c>
      <c r="G382" s="10" t="inlineStr">
        <is>
          <t>تقدير</t>
        </is>
      </c>
      <c r="H382" s="10" t="inlineStr">
        <is>
          <t>لم تُفحص</t>
        </is>
      </c>
      <c r="I382" s="10" t="inlineStr">
        <is>
          <t>لم يُفحص</t>
        </is>
      </c>
      <c r="J382" s="13" t="n">
        <v>12</v>
      </c>
      <c r="K382" s="11" t="inlineStr">
        <is>
          <t>تقدير</t>
        </is>
      </c>
      <c r="L382" s="14" t="n">
        <v>3</v>
      </c>
      <c r="M382" s="10" t="inlineStr">
        <is>
          <t>كبير</t>
        </is>
      </c>
      <c r="N382" s="11" t="inlineStr">
        <is>
          <t>طوال السنة</t>
        </is>
      </c>
      <c r="O382" s="11" t="inlineStr">
        <is>
          <t>لا</t>
        </is>
      </c>
      <c r="P382" s="15" t="n">
        <v>0.14</v>
      </c>
      <c r="Q382" s="14" t="n">
        <v>16</v>
      </c>
      <c r="R382" s="14" t="n">
        <v>50</v>
      </c>
      <c r="S382" s="16">
        <f>J382*'الافتراضات'!$B$2*(1+'الافتراضات'!$B$3)</f>
        <v/>
      </c>
      <c r="T382" s="16">
        <f>L382*'الافتراضات'!$B$4</f>
        <v/>
      </c>
      <c r="U382" s="16">
        <f>(S382+T382)*'الافتراضات'!$B$5</f>
        <v/>
      </c>
      <c r="V382" s="16">
        <f>S382+T382+U382</f>
        <v/>
      </c>
      <c r="W382" s="16">
        <f>MAX(1,E382*P382)</f>
        <v/>
      </c>
      <c r="X382" s="16">
        <f>E382*'الافتراضات'!$B$7</f>
        <v/>
      </c>
      <c r="Y382" s="16">
        <f>E382*'الافتراضات'!$B$8</f>
        <v/>
      </c>
      <c r="Z382" s="16">
        <f>E382/(1+'الافتراضات'!$B$6)</f>
        <v/>
      </c>
      <c r="AA382" s="16">
        <f>Z382-V382-W382-Q382-X382-Y382</f>
        <v/>
      </c>
      <c r="AB382" s="17">
        <f>IF(Z382=0,0,AA382/Z382)</f>
        <v/>
      </c>
      <c r="AC382" s="17">
        <f>IF(V382=0,0,AA382/V382)</f>
        <v/>
      </c>
      <c r="AD382" s="18">
        <f>R382*V382</f>
        <v/>
      </c>
      <c r="AE382" s="16">
        <f>IF(AB382&gt;='الافتراضات'!$B$9,IF(O382="لا","ابدأ به","جيد – يحتاج شهادة"),IF(AB382&gt;='الافتراضات'!$B$10,"مقبول","ضعيف"))</f>
        <v/>
      </c>
      <c r="AF382" s="16">
        <f>IF((1-'الافتراضات'!$B$9)/(1+'الافتراضات'!$B$6)-P382-'الافتراضات'!$B$7-'الافتراضات'!$B$8&lt;=0,0,(V382+Q382)/((1-'الافتراضات'!$B$9)/(1+'الافتراضات'!$B$6)-P382-'الافتراضات'!$B$7-'الافتراضات'!$B$8))</f>
        <v/>
      </c>
    </row>
    <row r="383">
      <c r="A383" s="10" t="n">
        <v>382</v>
      </c>
      <c r="B383" s="11" t="inlineStr">
        <is>
          <t>الأمان المنزلي</t>
        </is>
      </c>
      <c r="C383" s="11" t="inlineStr">
        <is>
          <t>حاجز باب للأطفال</t>
        </is>
      </c>
      <c r="D383" s="11" t="inlineStr">
        <is>
          <t>baby safety gate</t>
        </is>
      </c>
      <c r="E383" s="12" t="n">
        <v>136</v>
      </c>
      <c r="F383" s="10" t="inlineStr">
        <is>
          <t>تقدير</t>
        </is>
      </c>
      <c r="G383" s="10" t="inlineStr">
        <is>
          <t>تقدير</t>
        </is>
      </c>
      <c r="H383" s="10" t="inlineStr">
        <is>
          <t>لم تُفحص</t>
        </is>
      </c>
      <c r="I383" s="10" t="inlineStr">
        <is>
          <t>لم يُفحص</t>
        </is>
      </c>
      <c r="J383" s="13" t="n">
        <v>12</v>
      </c>
      <c r="K383" s="11" t="inlineStr">
        <is>
          <t>تقدير</t>
        </is>
      </c>
      <c r="L383" s="14" t="n">
        <v>3</v>
      </c>
      <c r="M383" s="10" t="inlineStr">
        <is>
          <t>كبير</t>
        </is>
      </c>
      <c r="N383" s="11" t="inlineStr">
        <is>
          <t>طوال السنة</t>
        </is>
      </c>
      <c r="O383" s="11" t="inlineStr">
        <is>
          <t>تحقق من اللوائح</t>
        </is>
      </c>
      <c r="P383" s="15" t="n">
        <v>0.14</v>
      </c>
      <c r="Q383" s="14" t="n">
        <v>16</v>
      </c>
      <c r="R383" s="14" t="n">
        <v>50</v>
      </c>
      <c r="S383" s="16">
        <f>J383*'الافتراضات'!$B$2*(1+'الافتراضات'!$B$3)</f>
        <v/>
      </c>
      <c r="T383" s="16">
        <f>L383*'الافتراضات'!$B$4</f>
        <v/>
      </c>
      <c r="U383" s="16">
        <f>(S383+T383)*'الافتراضات'!$B$5</f>
        <v/>
      </c>
      <c r="V383" s="16">
        <f>S383+T383+U383</f>
        <v/>
      </c>
      <c r="W383" s="16">
        <f>MAX(1,E383*P383)</f>
        <v/>
      </c>
      <c r="X383" s="16">
        <f>E383*'الافتراضات'!$B$7</f>
        <v/>
      </c>
      <c r="Y383" s="16">
        <f>E383*'الافتراضات'!$B$8</f>
        <v/>
      </c>
      <c r="Z383" s="16">
        <f>E383/(1+'الافتراضات'!$B$6)</f>
        <v/>
      </c>
      <c r="AA383" s="16">
        <f>Z383-V383-W383-Q383-X383-Y383</f>
        <v/>
      </c>
      <c r="AB383" s="17">
        <f>IF(Z383=0,0,AA383/Z383)</f>
        <v/>
      </c>
      <c r="AC383" s="17">
        <f>IF(V383=0,0,AA383/V383)</f>
        <v/>
      </c>
      <c r="AD383" s="18">
        <f>R383*V383</f>
        <v/>
      </c>
      <c r="AE383" s="16">
        <f>IF(AB383&gt;='الافتراضات'!$B$9,IF(O383="لا","ابدأ به","جيد – يحتاج شهادة"),IF(AB383&gt;='الافتراضات'!$B$10,"مقبول","ضعيف"))</f>
        <v/>
      </c>
      <c r="AF383" s="16">
        <f>IF((1-'الافتراضات'!$B$9)/(1+'الافتراضات'!$B$6)-P383-'الافتراضات'!$B$7-'الافتراضات'!$B$8&lt;=0,0,(V383+Q383)/((1-'الافتراضات'!$B$9)/(1+'الافتراضات'!$B$6)-P383-'الافتراضات'!$B$7-'الافتراضات'!$B$8))</f>
        <v/>
      </c>
    </row>
    <row r="384">
      <c r="A384" s="10" t="n">
        <v>383</v>
      </c>
      <c r="B384" s="11" t="inlineStr">
        <is>
          <t>الحقائب والسفر</t>
        </is>
      </c>
      <c r="C384" s="11" t="inlineStr">
        <is>
          <t>مجموعة زجاجات سفر</t>
        </is>
      </c>
      <c r="D384" s="11" t="inlineStr">
        <is>
          <t>travel bottles set silicone</t>
        </is>
      </c>
      <c r="E384" s="12" t="n">
        <v>25</v>
      </c>
      <c r="F384" s="10" t="inlineStr">
        <is>
          <t>تقدير</t>
        </is>
      </c>
      <c r="G384" s="10" t="inlineStr">
        <is>
          <t>تقدير</t>
        </is>
      </c>
      <c r="H384" s="10" t="inlineStr">
        <is>
          <t>لم تُفحص</t>
        </is>
      </c>
      <c r="I384" s="10" t="inlineStr">
        <is>
          <t>لم يُفحص</t>
        </is>
      </c>
      <c r="J384" s="13" t="n">
        <v>1.4</v>
      </c>
      <c r="K384" s="11" t="inlineStr">
        <is>
          <t>تقدير</t>
        </is>
      </c>
      <c r="L384" s="14" t="n">
        <v>0.15</v>
      </c>
      <c r="M384" s="10" t="inlineStr">
        <is>
          <t>صغير</t>
        </is>
      </c>
      <c r="N384" s="11" t="inlineStr">
        <is>
          <t>طوال السنة</t>
        </is>
      </c>
      <c r="O384" s="11" t="inlineStr">
        <is>
          <t>لا</t>
        </is>
      </c>
      <c r="P384" s="15" t="n">
        <v>0.25</v>
      </c>
      <c r="Q384" s="14" t="n">
        <v>7</v>
      </c>
      <c r="R384" s="14" t="n">
        <v>50</v>
      </c>
      <c r="S384" s="16">
        <f>J384*'الافتراضات'!$B$2*(1+'الافتراضات'!$B$3)</f>
        <v/>
      </c>
      <c r="T384" s="16">
        <f>L384*'الافتراضات'!$B$4</f>
        <v/>
      </c>
      <c r="U384" s="16">
        <f>(S384+T384)*'الافتراضات'!$B$5</f>
        <v/>
      </c>
      <c r="V384" s="16">
        <f>S384+T384+U384</f>
        <v/>
      </c>
      <c r="W384" s="16">
        <f>MAX(1,E384*P384)</f>
        <v/>
      </c>
      <c r="X384" s="16">
        <f>E384*'الافتراضات'!$B$7</f>
        <v/>
      </c>
      <c r="Y384" s="16">
        <f>E384*'الافتراضات'!$B$8</f>
        <v/>
      </c>
      <c r="Z384" s="16">
        <f>E384/(1+'الافتراضات'!$B$6)</f>
        <v/>
      </c>
      <c r="AA384" s="16">
        <f>Z384-V384-W384-Q384-X384-Y384</f>
        <v/>
      </c>
      <c r="AB384" s="17">
        <f>IF(Z384=0,0,AA384/Z384)</f>
        <v/>
      </c>
      <c r="AC384" s="17">
        <f>IF(V384=0,0,AA384/V384)</f>
        <v/>
      </c>
      <c r="AD384" s="18">
        <f>R384*V384</f>
        <v/>
      </c>
      <c r="AE384" s="16">
        <f>IF(AB384&gt;='الافتراضات'!$B$9,IF(O384="لا","ابدأ به","جيد – يحتاج شهادة"),IF(AB384&gt;='الافتراضات'!$B$10,"مقبول","ضعيف"))</f>
        <v/>
      </c>
      <c r="AF384" s="16">
        <f>IF((1-'الافتراضات'!$B$9)/(1+'الافتراضات'!$B$6)-P384-'الافتراضات'!$B$7-'الافتراضات'!$B$8&lt;=0,0,(V384+Q384)/((1-'الافتراضات'!$B$9)/(1+'الافتراضات'!$B$6)-P384-'الافتراضات'!$B$7-'الافتراضات'!$B$8))</f>
        <v/>
      </c>
    </row>
    <row r="385">
      <c r="A385" s="10" t="n">
        <v>384</v>
      </c>
      <c r="B385" s="11" t="inlineStr">
        <is>
          <t>السيارات والدراجات</t>
        </is>
      </c>
      <c r="C385" s="11" t="inlineStr">
        <is>
          <t>قفل مقود السيارة</t>
        </is>
      </c>
      <c r="D385" s="11" t="inlineStr">
        <is>
          <t>steering wheel lock</t>
        </is>
      </c>
      <c r="E385" s="12" t="n">
        <v>79</v>
      </c>
      <c r="F385" s="10" t="inlineStr">
        <is>
          <t>تقدير</t>
        </is>
      </c>
      <c r="G385" s="10" t="inlineStr">
        <is>
          <t>تقدير</t>
        </is>
      </c>
      <c r="H385" s="10" t="inlineStr">
        <is>
          <t>لم تُفحص</t>
        </is>
      </c>
      <c r="I385" s="10" t="inlineStr">
        <is>
          <t>لم يُفحص</t>
        </is>
      </c>
      <c r="J385" s="13" t="n">
        <v>7</v>
      </c>
      <c r="K385" s="11" t="inlineStr">
        <is>
          <t>تقدير</t>
        </is>
      </c>
      <c r="L385" s="14" t="n">
        <v>1.8</v>
      </c>
      <c r="M385" s="10" t="inlineStr">
        <is>
          <t>متوسط</t>
        </is>
      </c>
      <c r="N385" s="11" t="inlineStr">
        <is>
          <t>طوال السنة</t>
        </is>
      </c>
      <c r="O385" s="11" t="inlineStr">
        <is>
          <t>لا</t>
        </is>
      </c>
      <c r="P385" s="15" t="n">
        <v>0.1</v>
      </c>
      <c r="Q385" s="14" t="n">
        <v>12</v>
      </c>
      <c r="R385" s="14" t="n">
        <v>50</v>
      </c>
      <c r="S385" s="16">
        <f>J385*'الافتراضات'!$B$2*(1+'الافتراضات'!$B$3)</f>
        <v/>
      </c>
      <c r="T385" s="16">
        <f>L385*'الافتراضات'!$B$4</f>
        <v/>
      </c>
      <c r="U385" s="16">
        <f>(S385+T385)*'الافتراضات'!$B$5</f>
        <v/>
      </c>
      <c r="V385" s="16">
        <f>S385+T385+U385</f>
        <v/>
      </c>
      <c r="W385" s="16">
        <f>MAX(1,E385*P385)</f>
        <v/>
      </c>
      <c r="X385" s="16">
        <f>E385*'الافتراضات'!$B$7</f>
        <v/>
      </c>
      <c r="Y385" s="16">
        <f>E385*'الافتراضات'!$B$8</f>
        <v/>
      </c>
      <c r="Z385" s="16">
        <f>E385/(1+'الافتراضات'!$B$6)</f>
        <v/>
      </c>
      <c r="AA385" s="16">
        <f>Z385-V385-W385-Q385-X385-Y385</f>
        <v/>
      </c>
      <c r="AB385" s="17">
        <f>IF(Z385=0,0,AA385/Z385)</f>
        <v/>
      </c>
      <c r="AC385" s="17">
        <f>IF(V385=0,0,AA385/V385)</f>
        <v/>
      </c>
      <c r="AD385" s="18">
        <f>R385*V385</f>
        <v/>
      </c>
      <c r="AE385" s="16">
        <f>IF(AB385&gt;='الافتراضات'!$B$9,IF(O385="لا","ابدأ به","جيد – يحتاج شهادة"),IF(AB385&gt;='الافتراضات'!$B$10,"مقبول","ضعيف"))</f>
        <v/>
      </c>
      <c r="AF385" s="16">
        <f>IF((1-'الافتراضات'!$B$9)/(1+'الافتراضات'!$B$6)-P385-'الافتراضات'!$B$7-'الافتراضات'!$B$8&lt;=0,0,(V385+Q385)/((1-'الافتراضات'!$B$9)/(1+'الافتراضات'!$B$6)-P385-'الافتراضات'!$B$7-'الافتراضات'!$B$8))</f>
        <v/>
      </c>
    </row>
    <row r="386">
      <c r="A386" s="10" t="n">
        <v>385</v>
      </c>
      <c r="B386" s="11" t="inlineStr">
        <is>
          <t>المنزل والمطبخ</t>
        </is>
      </c>
      <c r="C386" s="11" t="inlineStr">
        <is>
          <t>لوح تقطيع ستانلس</t>
        </is>
      </c>
      <c r="D386" s="11" t="inlineStr">
        <is>
          <t>stainless steel cutting board</t>
        </is>
      </c>
      <c r="E386" s="12" t="n">
        <v>57</v>
      </c>
      <c r="F386" s="10" t="inlineStr">
        <is>
          <t>تقدير</t>
        </is>
      </c>
      <c r="G386" s="10" t="inlineStr">
        <is>
          <t>تقدير</t>
        </is>
      </c>
      <c r="H386" s="10" t="inlineStr">
        <is>
          <t>لم تُفحص</t>
        </is>
      </c>
      <c r="I386" s="10" t="inlineStr">
        <is>
          <t>لم يُفحص</t>
        </is>
      </c>
      <c r="J386" s="13" t="n">
        <v>5</v>
      </c>
      <c r="K386" s="11" t="inlineStr">
        <is>
          <t>تقدير</t>
        </is>
      </c>
      <c r="L386" s="14" t="n">
        <v>0.9</v>
      </c>
      <c r="M386" s="10" t="inlineStr">
        <is>
          <t>متوسط</t>
        </is>
      </c>
      <c r="N386" s="11" t="inlineStr">
        <is>
          <t>طوال السنة</t>
        </is>
      </c>
      <c r="O386" s="11" t="inlineStr">
        <is>
          <t>ملامس للغذاء (SFDA)</t>
        </is>
      </c>
      <c r="P386" s="15" t="n">
        <v>0.14</v>
      </c>
      <c r="Q386" s="14" t="n">
        <v>10</v>
      </c>
      <c r="R386" s="14" t="n">
        <v>50</v>
      </c>
      <c r="S386" s="16">
        <f>J386*'الافتراضات'!$B$2*(1+'الافتراضات'!$B$3)</f>
        <v/>
      </c>
      <c r="T386" s="16">
        <f>L386*'الافتراضات'!$B$4</f>
        <v/>
      </c>
      <c r="U386" s="16">
        <f>(S386+T386)*'الافتراضات'!$B$5</f>
        <v/>
      </c>
      <c r="V386" s="16">
        <f>S386+T386+U386</f>
        <v/>
      </c>
      <c r="W386" s="16">
        <f>MAX(1,E386*P386)</f>
        <v/>
      </c>
      <c r="X386" s="16">
        <f>E386*'الافتراضات'!$B$7</f>
        <v/>
      </c>
      <c r="Y386" s="16">
        <f>E386*'الافتراضات'!$B$8</f>
        <v/>
      </c>
      <c r="Z386" s="16">
        <f>E386/(1+'الافتراضات'!$B$6)</f>
        <v/>
      </c>
      <c r="AA386" s="16">
        <f>Z386-V386-W386-Q386-X386-Y386</f>
        <v/>
      </c>
      <c r="AB386" s="17">
        <f>IF(Z386=0,0,AA386/Z386)</f>
        <v/>
      </c>
      <c r="AC386" s="17">
        <f>IF(V386=0,0,AA386/V386)</f>
        <v/>
      </c>
      <c r="AD386" s="18">
        <f>R386*V386</f>
        <v/>
      </c>
      <c r="AE386" s="16">
        <f>IF(AB386&gt;='الافتراضات'!$B$9,IF(O386="لا","ابدأ به","جيد – يحتاج شهادة"),IF(AB386&gt;='الافتراضات'!$B$10,"مقبول","ضعيف"))</f>
        <v/>
      </c>
      <c r="AF386" s="16">
        <f>IF((1-'الافتراضات'!$B$9)/(1+'الافتراضات'!$B$6)-P386-'الافتراضات'!$B$7-'الافتراضات'!$B$8&lt;=0,0,(V386+Q386)/((1-'الافتراضات'!$B$9)/(1+'الافتراضات'!$B$6)-P386-'الافتراضات'!$B$7-'الافتراضات'!$B$8))</f>
        <v/>
      </c>
    </row>
    <row r="387">
      <c r="A387" s="10" t="n">
        <v>386</v>
      </c>
      <c r="B387" s="11" t="inlineStr">
        <is>
          <t>المنزل والمطبخ</t>
        </is>
      </c>
      <c r="C387" s="11" t="inlineStr">
        <is>
          <t>طقم فناجين قهوة عربية</t>
        </is>
      </c>
      <c r="D387" s="11" t="inlineStr">
        <is>
          <t>arabic coffee cups set</t>
        </is>
      </c>
      <c r="E387" s="12" t="n">
        <v>57</v>
      </c>
      <c r="F387" s="10" t="inlineStr">
        <is>
          <t>تقدير</t>
        </is>
      </c>
      <c r="G387" s="10" t="inlineStr">
        <is>
          <t>تقدير</t>
        </is>
      </c>
      <c r="H387" s="10" t="inlineStr">
        <is>
          <t>لم تُفحص</t>
        </is>
      </c>
      <c r="I387" s="10" t="inlineStr">
        <is>
          <t>لم يُفحص</t>
        </is>
      </c>
      <c r="J387" s="13" t="n">
        <v>5</v>
      </c>
      <c r="K387" s="11" t="inlineStr">
        <is>
          <t>تقدير</t>
        </is>
      </c>
      <c r="L387" s="14" t="n">
        <v>0.9</v>
      </c>
      <c r="M387" s="10" t="inlineStr">
        <is>
          <t>متوسط</t>
        </is>
      </c>
      <c r="N387" s="11" t="inlineStr">
        <is>
          <t>طوال السنة</t>
        </is>
      </c>
      <c r="O387" s="11" t="inlineStr">
        <is>
          <t>ملامس للغذاء (SFDA)</t>
        </is>
      </c>
      <c r="P387" s="15" t="n">
        <v>0.14</v>
      </c>
      <c r="Q387" s="14" t="n">
        <v>10</v>
      </c>
      <c r="R387" s="14" t="n">
        <v>50</v>
      </c>
      <c r="S387" s="16">
        <f>J387*'الافتراضات'!$B$2*(1+'الافتراضات'!$B$3)</f>
        <v/>
      </c>
      <c r="T387" s="16">
        <f>L387*'الافتراضات'!$B$4</f>
        <v/>
      </c>
      <c r="U387" s="16">
        <f>(S387+T387)*'الافتراضات'!$B$5</f>
        <v/>
      </c>
      <c r="V387" s="16">
        <f>S387+T387+U387</f>
        <v/>
      </c>
      <c r="W387" s="16">
        <f>MAX(1,E387*P387)</f>
        <v/>
      </c>
      <c r="X387" s="16">
        <f>E387*'الافتراضات'!$B$7</f>
        <v/>
      </c>
      <c r="Y387" s="16">
        <f>E387*'الافتراضات'!$B$8</f>
        <v/>
      </c>
      <c r="Z387" s="16">
        <f>E387/(1+'الافتراضات'!$B$6)</f>
        <v/>
      </c>
      <c r="AA387" s="16">
        <f>Z387-V387-W387-Q387-X387-Y387</f>
        <v/>
      </c>
      <c r="AB387" s="17">
        <f>IF(Z387=0,0,AA387/Z387)</f>
        <v/>
      </c>
      <c r="AC387" s="17">
        <f>IF(V387=0,0,AA387/V387)</f>
        <v/>
      </c>
      <c r="AD387" s="18">
        <f>R387*V387</f>
        <v/>
      </c>
      <c r="AE387" s="16">
        <f>IF(AB387&gt;='الافتراضات'!$B$9,IF(O387="لا","ابدأ به","جيد – يحتاج شهادة"),IF(AB387&gt;='الافتراضات'!$B$10,"مقبول","ضعيف"))</f>
        <v/>
      </c>
      <c r="AF387" s="16">
        <f>IF((1-'الافتراضات'!$B$9)/(1+'الافتراضات'!$B$6)-P387-'الافتراضات'!$B$7-'الافتراضات'!$B$8&lt;=0,0,(V387+Q387)/((1-'الافتراضات'!$B$9)/(1+'الافتراضات'!$B$6)-P387-'الافتراضات'!$B$7-'الافتراضات'!$B$8))</f>
        <v/>
      </c>
    </row>
    <row r="388">
      <c r="A388" s="10" t="n">
        <v>387</v>
      </c>
      <c r="B388" s="11" t="inlineStr">
        <is>
          <t>الأطفال والألعاب</t>
        </is>
      </c>
      <c r="C388" s="11" t="inlineStr">
        <is>
          <t>لعبة مونوبولي عائلية</t>
        </is>
      </c>
      <c r="D388" s="11" t="inlineStr">
        <is>
          <t>family board game</t>
        </is>
      </c>
      <c r="E388" s="12" t="n">
        <v>57</v>
      </c>
      <c r="F388" s="10" t="inlineStr">
        <is>
          <t>تقدير</t>
        </is>
      </c>
      <c r="G388" s="10" t="inlineStr">
        <is>
          <t>تقدير</t>
        </is>
      </c>
      <c r="H388" s="10" t="inlineStr">
        <is>
          <t>لم تُفحص</t>
        </is>
      </c>
      <c r="I388" s="10" t="inlineStr">
        <is>
          <t>لم يُفحص</t>
        </is>
      </c>
      <c r="J388" s="13" t="n">
        <v>5</v>
      </c>
      <c r="K388" s="11" t="inlineStr">
        <is>
          <t>تقدير</t>
        </is>
      </c>
      <c r="L388" s="14" t="n">
        <v>0.9</v>
      </c>
      <c r="M388" s="10" t="inlineStr">
        <is>
          <t>متوسط</t>
        </is>
      </c>
      <c r="N388" s="11" t="inlineStr">
        <is>
          <t>طوال السنة</t>
        </is>
      </c>
      <c r="O388" s="11" t="inlineStr">
        <is>
          <t>لا</t>
        </is>
      </c>
      <c r="P388" s="15" t="n">
        <v>0.14</v>
      </c>
      <c r="Q388" s="14" t="n">
        <v>10</v>
      </c>
      <c r="R388" s="14" t="n">
        <v>50</v>
      </c>
      <c r="S388" s="16">
        <f>J388*'الافتراضات'!$B$2*(1+'الافتراضات'!$B$3)</f>
        <v/>
      </c>
      <c r="T388" s="16">
        <f>L388*'الافتراضات'!$B$4</f>
        <v/>
      </c>
      <c r="U388" s="16">
        <f>(S388+T388)*'الافتراضات'!$B$5</f>
        <v/>
      </c>
      <c r="V388" s="16">
        <f>S388+T388+U388</f>
        <v/>
      </c>
      <c r="W388" s="16">
        <f>MAX(1,E388*P388)</f>
        <v/>
      </c>
      <c r="X388" s="16">
        <f>E388*'الافتراضات'!$B$7</f>
        <v/>
      </c>
      <c r="Y388" s="16">
        <f>E388*'الافتراضات'!$B$8</f>
        <v/>
      </c>
      <c r="Z388" s="16">
        <f>E388/(1+'الافتراضات'!$B$6)</f>
        <v/>
      </c>
      <c r="AA388" s="16">
        <f>Z388-V388-W388-Q388-X388-Y388</f>
        <v/>
      </c>
      <c r="AB388" s="17">
        <f>IF(Z388=0,0,AA388/Z388)</f>
        <v/>
      </c>
      <c r="AC388" s="17">
        <f>IF(V388=0,0,AA388/V388)</f>
        <v/>
      </c>
      <c r="AD388" s="18">
        <f>R388*V388</f>
        <v/>
      </c>
      <c r="AE388" s="16">
        <f>IF(AB388&gt;='الافتراضات'!$B$9,IF(O388="لا","ابدأ به","جيد – يحتاج شهادة"),IF(AB388&gt;='الافتراضات'!$B$10,"مقبول","ضعيف"))</f>
        <v/>
      </c>
      <c r="AF388" s="16">
        <f>IF((1-'الافتراضات'!$B$9)/(1+'الافتراضات'!$B$6)-P388-'الافتراضات'!$B$7-'الافتراضات'!$B$8&lt;=0,0,(V388+Q388)/((1-'الافتراضات'!$B$9)/(1+'الافتراضات'!$B$6)-P388-'الافتراضات'!$B$7-'الافتراضات'!$B$8))</f>
        <v/>
      </c>
    </row>
    <row r="389">
      <c r="A389" s="10" t="n">
        <v>388</v>
      </c>
      <c r="B389" s="11" t="inlineStr">
        <is>
          <t>المنزل والمطبخ</t>
        </is>
      </c>
      <c r="C389" s="11" t="inlineStr">
        <is>
          <t>طقم مناشف حمام قطن</t>
        </is>
      </c>
      <c r="D389" s="11" t="inlineStr">
        <is>
          <t>cotton bath towel set</t>
        </is>
      </c>
      <c r="E389" s="12" t="n">
        <v>79</v>
      </c>
      <c r="F389" s="10" t="inlineStr">
        <is>
          <t>تقدير</t>
        </is>
      </c>
      <c r="G389" s="10" t="inlineStr">
        <is>
          <t>تقدير</t>
        </is>
      </c>
      <c r="H389" s="10" t="inlineStr">
        <is>
          <t>لم تُفحص</t>
        </is>
      </c>
      <c r="I389" s="10" t="inlineStr">
        <is>
          <t>لم يُفحص</t>
        </is>
      </c>
      <c r="J389" s="13" t="n">
        <v>7</v>
      </c>
      <c r="K389" s="11" t="inlineStr">
        <is>
          <t>تقدير</t>
        </is>
      </c>
      <c r="L389" s="14" t="n">
        <v>1.5</v>
      </c>
      <c r="M389" s="10" t="inlineStr">
        <is>
          <t>متوسط</t>
        </is>
      </c>
      <c r="N389" s="11" t="inlineStr">
        <is>
          <t>طوال السنة</t>
        </is>
      </c>
      <c r="O389" s="11" t="inlineStr">
        <is>
          <t>لا</t>
        </is>
      </c>
      <c r="P389" s="15" t="n">
        <v>0.14</v>
      </c>
      <c r="Q389" s="14" t="n">
        <v>11.5</v>
      </c>
      <c r="R389" s="14" t="n">
        <v>50</v>
      </c>
      <c r="S389" s="16">
        <f>J389*'الافتراضات'!$B$2*(1+'الافتراضات'!$B$3)</f>
        <v/>
      </c>
      <c r="T389" s="16">
        <f>L389*'الافتراضات'!$B$4</f>
        <v/>
      </c>
      <c r="U389" s="16">
        <f>(S389+T389)*'الافتراضات'!$B$5</f>
        <v/>
      </c>
      <c r="V389" s="16">
        <f>S389+T389+U389</f>
        <v/>
      </c>
      <c r="W389" s="16">
        <f>MAX(1,E389*P389)</f>
        <v/>
      </c>
      <c r="X389" s="16">
        <f>E389*'الافتراضات'!$B$7</f>
        <v/>
      </c>
      <c r="Y389" s="16">
        <f>E389*'الافتراضات'!$B$8</f>
        <v/>
      </c>
      <c r="Z389" s="16">
        <f>E389/(1+'الافتراضات'!$B$6)</f>
        <v/>
      </c>
      <c r="AA389" s="16">
        <f>Z389-V389-W389-Q389-X389-Y389</f>
        <v/>
      </c>
      <c r="AB389" s="17">
        <f>IF(Z389=0,0,AA389/Z389)</f>
        <v/>
      </c>
      <c r="AC389" s="17">
        <f>IF(V389=0,0,AA389/V389)</f>
        <v/>
      </c>
      <c r="AD389" s="18">
        <f>R389*V389</f>
        <v/>
      </c>
      <c r="AE389" s="16">
        <f>IF(AB389&gt;='الافتراضات'!$B$9,IF(O389="لا","ابدأ به","جيد – يحتاج شهادة"),IF(AB389&gt;='الافتراضات'!$B$10,"مقبول","ضعيف"))</f>
        <v/>
      </c>
      <c r="AF389" s="16">
        <f>IF((1-'الافتراضات'!$B$9)/(1+'الافتراضات'!$B$6)-P389-'الافتراضات'!$B$7-'الافتراضات'!$B$8&lt;=0,0,(V389+Q389)/((1-'الافتراضات'!$B$9)/(1+'الافتراضات'!$B$6)-P389-'الافتراضات'!$B$7-'الافتراضات'!$B$8))</f>
        <v/>
      </c>
    </row>
    <row r="390">
      <c r="A390" s="10" t="n">
        <v>389</v>
      </c>
      <c r="B390" s="11" t="inlineStr">
        <is>
          <t>الحديقة والخارج</t>
        </is>
      </c>
      <c r="C390" s="11" t="inlineStr">
        <is>
          <t>أرجوحة حديقة</t>
        </is>
      </c>
      <c r="D390" s="11" t="inlineStr">
        <is>
          <t>hammock camping</t>
        </is>
      </c>
      <c r="E390" s="12" t="n">
        <v>45</v>
      </c>
      <c r="F390" s="10" t="inlineStr">
        <is>
          <t>تقدير</t>
        </is>
      </c>
      <c r="G390" s="10" t="inlineStr">
        <is>
          <t>تقدير</t>
        </is>
      </c>
      <c r="H390" s="10" t="inlineStr">
        <is>
          <t>لم تُفحص</t>
        </is>
      </c>
      <c r="I390" s="10" t="inlineStr">
        <is>
          <t>لم يُفحص</t>
        </is>
      </c>
      <c r="J390" s="13" t="n">
        <v>4</v>
      </c>
      <c r="K390" s="11" t="inlineStr">
        <is>
          <t>تقدير</t>
        </is>
      </c>
      <c r="L390" s="14" t="n">
        <v>0.5</v>
      </c>
      <c r="M390" s="10" t="inlineStr">
        <is>
          <t>متوسط</t>
        </is>
      </c>
      <c r="N390" s="11" t="inlineStr">
        <is>
          <t>الصيف</t>
        </is>
      </c>
      <c r="O390" s="11" t="inlineStr">
        <is>
          <t>لا</t>
        </is>
      </c>
      <c r="P390" s="15" t="n">
        <v>0.14</v>
      </c>
      <c r="Q390" s="14" t="n">
        <v>9.5</v>
      </c>
      <c r="R390" s="14" t="n">
        <v>50</v>
      </c>
      <c r="S390" s="16">
        <f>J390*'الافتراضات'!$B$2*(1+'الافتراضات'!$B$3)</f>
        <v/>
      </c>
      <c r="T390" s="16">
        <f>L390*'الافتراضات'!$B$4</f>
        <v/>
      </c>
      <c r="U390" s="16">
        <f>(S390+T390)*'الافتراضات'!$B$5</f>
        <v/>
      </c>
      <c r="V390" s="16">
        <f>S390+T390+U390</f>
        <v/>
      </c>
      <c r="W390" s="16">
        <f>MAX(1,E390*P390)</f>
        <v/>
      </c>
      <c r="X390" s="16">
        <f>E390*'الافتراضات'!$B$7</f>
        <v/>
      </c>
      <c r="Y390" s="16">
        <f>E390*'الافتراضات'!$B$8</f>
        <v/>
      </c>
      <c r="Z390" s="16">
        <f>E390/(1+'الافتراضات'!$B$6)</f>
        <v/>
      </c>
      <c r="AA390" s="16">
        <f>Z390-V390-W390-Q390-X390-Y390</f>
        <v/>
      </c>
      <c r="AB390" s="17">
        <f>IF(Z390=0,0,AA390/Z390)</f>
        <v/>
      </c>
      <c r="AC390" s="17">
        <f>IF(V390=0,0,AA390/V390)</f>
        <v/>
      </c>
      <c r="AD390" s="18">
        <f>R390*V390</f>
        <v/>
      </c>
      <c r="AE390" s="16">
        <f>IF(AB390&gt;='الافتراضات'!$B$9,IF(O390="لا","ابدأ به","جيد – يحتاج شهادة"),IF(AB390&gt;='الافتراضات'!$B$10,"مقبول","ضعيف"))</f>
        <v/>
      </c>
      <c r="AF390" s="16">
        <f>IF((1-'الافتراضات'!$B$9)/(1+'الافتراضات'!$B$6)-P390-'الافتراضات'!$B$7-'الافتراضات'!$B$8&lt;=0,0,(V390+Q390)/((1-'الافتراضات'!$B$9)/(1+'الافتراضات'!$B$6)-P390-'الافتراضات'!$B$7-'الافتراضات'!$B$8))</f>
        <v/>
      </c>
    </row>
    <row r="391">
      <c r="A391" s="10" t="n">
        <v>390</v>
      </c>
      <c r="B391" s="11" t="inlineStr">
        <is>
          <t>التخييم والسفر</t>
        </is>
      </c>
      <c r="C391" s="11" t="inlineStr">
        <is>
          <t>مشعل غاز للرحلات</t>
        </is>
      </c>
      <c r="D391" s="11" t="inlineStr">
        <is>
          <t>butane torch lighter</t>
        </is>
      </c>
      <c r="E391" s="12" t="n">
        <v>40</v>
      </c>
      <c r="F391" s="10" t="inlineStr">
        <is>
          <t>تقدير</t>
        </is>
      </c>
      <c r="G391" s="10" t="inlineStr">
        <is>
          <t>تقدير</t>
        </is>
      </c>
      <c r="H391" s="10" t="inlineStr">
        <is>
          <t>لم تُفحص</t>
        </is>
      </c>
      <c r="I391" s="10" t="inlineStr">
        <is>
          <t>لم يُفحص</t>
        </is>
      </c>
      <c r="J391" s="13" t="n">
        <v>3.5</v>
      </c>
      <c r="K391" s="11" t="inlineStr">
        <is>
          <t>تقدير</t>
        </is>
      </c>
      <c r="L391" s="14" t="n">
        <v>0.4</v>
      </c>
      <c r="M391" s="10" t="inlineStr">
        <is>
          <t>صغير</t>
        </is>
      </c>
      <c r="N391" s="11" t="inlineStr">
        <is>
          <t>الشتاء والكشتات</t>
        </is>
      </c>
      <c r="O391" s="11" t="inlineStr">
        <is>
          <t>تحقق من اللوائح</t>
        </is>
      </c>
      <c r="P391" s="15" t="n">
        <v>0.13</v>
      </c>
      <c r="Q391" s="14" t="n">
        <v>9.5</v>
      </c>
      <c r="R391" s="14" t="n">
        <v>50</v>
      </c>
      <c r="S391" s="16">
        <f>J391*'الافتراضات'!$B$2*(1+'الافتراضات'!$B$3)</f>
        <v/>
      </c>
      <c r="T391" s="16">
        <f>L391*'الافتراضات'!$B$4</f>
        <v/>
      </c>
      <c r="U391" s="16">
        <f>(S391+T391)*'الافتراضات'!$B$5</f>
        <v/>
      </c>
      <c r="V391" s="16">
        <f>S391+T391+U391</f>
        <v/>
      </c>
      <c r="W391" s="16">
        <f>MAX(1,E391*P391)</f>
        <v/>
      </c>
      <c r="X391" s="16">
        <f>E391*'الافتراضات'!$B$7</f>
        <v/>
      </c>
      <c r="Y391" s="16">
        <f>E391*'الافتراضات'!$B$8</f>
        <v/>
      </c>
      <c r="Z391" s="16">
        <f>E391/(1+'الافتراضات'!$B$6)</f>
        <v/>
      </c>
      <c r="AA391" s="16">
        <f>Z391-V391-W391-Q391-X391-Y391</f>
        <v/>
      </c>
      <c r="AB391" s="17">
        <f>IF(Z391=0,0,AA391/Z391)</f>
        <v/>
      </c>
      <c r="AC391" s="17">
        <f>IF(V391=0,0,AA391/V391)</f>
        <v/>
      </c>
      <c r="AD391" s="18">
        <f>R391*V391</f>
        <v/>
      </c>
      <c r="AE391" s="16">
        <f>IF(AB391&gt;='الافتراضات'!$B$9,IF(O391="لا","ابدأ به","جيد – يحتاج شهادة"),IF(AB391&gt;='الافتراضات'!$B$10,"مقبول","ضعيف"))</f>
        <v/>
      </c>
      <c r="AF391" s="16">
        <f>IF((1-'الافتراضات'!$B$9)/(1+'الافتراضات'!$B$6)-P391-'الافتراضات'!$B$7-'الافتراضات'!$B$8&lt;=0,0,(V391+Q391)/((1-'الافتراضات'!$B$9)/(1+'الافتراضات'!$B$6)-P391-'الافتراضات'!$B$7-'الافتراضات'!$B$8))</f>
        <v/>
      </c>
    </row>
    <row r="392">
      <c r="A392" s="10" t="n">
        <v>391</v>
      </c>
      <c r="B392" s="11" t="inlineStr">
        <is>
          <t>الحقائب والسفر</t>
        </is>
      </c>
      <c r="C392" s="11" t="inlineStr">
        <is>
          <t>حقيبة مدرسية مع حقيبة غداء</t>
        </is>
      </c>
      <c r="D392" s="11" t="inlineStr">
        <is>
          <t>school bag set 3 pcs</t>
        </is>
      </c>
      <c r="E392" s="12" t="n">
        <v>91</v>
      </c>
      <c r="F392" s="10" t="inlineStr">
        <is>
          <t>تقدير</t>
        </is>
      </c>
      <c r="G392" s="10" t="inlineStr">
        <is>
          <t>تقدير</t>
        </is>
      </c>
      <c r="H392" s="10" t="inlineStr">
        <is>
          <t>لم تُفحص</t>
        </is>
      </c>
      <c r="I392" s="10" t="inlineStr">
        <is>
          <t>لم يُفحص</t>
        </is>
      </c>
      <c r="J392" s="13" t="n">
        <v>8</v>
      </c>
      <c r="K392" s="11" t="inlineStr">
        <is>
          <t>تقدير</t>
        </is>
      </c>
      <c r="L392" s="14" t="n">
        <v>1</v>
      </c>
      <c r="M392" s="10" t="inlineStr">
        <is>
          <t>متوسط</t>
        </is>
      </c>
      <c r="N392" s="11" t="inlineStr">
        <is>
          <t>العودة للمدارس</t>
        </is>
      </c>
      <c r="O392" s="11" t="inlineStr">
        <is>
          <t>لا</t>
        </is>
      </c>
      <c r="P392" s="15" t="n">
        <v>0.25</v>
      </c>
      <c r="Q392" s="14" t="n">
        <v>10</v>
      </c>
      <c r="R392" s="14" t="n">
        <v>50</v>
      </c>
      <c r="S392" s="16">
        <f>J392*'الافتراضات'!$B$2*(1+'الافتراضات'!$B$3)</f>
        <v/>
      </c>
      <c r="T392" s="16">
        <f>L392*'الافتراضات'!$B$4</f>
        <v/>
      </c>
      <c r="U392" s="16">
        <f>(S392+T392)*'الافتراضات'!$B$5</f>
        <v/>
      </c>
      <c r="V392" s="16">
        <f>S392+T392+U392</f>
        <v/>
      </c>
      <c r="W392" s="16">
        <f>MAX(1,E392*P392)</f>
        <v/>
      </c>
      <c r="X392" s="16">
        <f>E392*'الافتراضات'!$B$7</f>
        <v/>
      </c>
      <c r="Y392" s="16">
        <f>E392*'الافتراضات'!$B$8</f>
        <v/>
      </c>
      <c r="Z392" s="16">
        <f>E392/(1+'الافتراضات'!$B$6)</f>
        <v/>
      </c>
      <c r="AA392" s="16">
        <f>Z392-V392-W392-Q392-X392-Y392</f>
        <v/>
      </c>
      <c r="AB392" s="17">
        <f>IF(Z392=0,0,AA392/Z392)</f>
        <v/>
      </c>
      <c r="AC392" s="17">
        <f>IF(V392=0,0,AA392/V392)</f>
        <v/>
      </c>
      <c r="AD392" s="18">
        <f>R392*V392</f>
        <v/>
      </c>
      <c r="AE392" s="16">
        <f>IF(AB392&gt;='الافتراضات'!$B$9,IF(O392="لا","ابدأ به","جيد – يحتاج شهادة"),IF(AB392&gt;='الافتراضات'!$B$10,"مقبول","ضعيف"))</f>
        <v/>
      </c>
      <c r="AF392" s="16">
        <f>IF((1-'الافتراضات'!$B$9)/(1+'الافتراضات'!$B$6)-P392-'الافتراضات'!$B$7-'الافتراضات'!$B$8&lt;=0,0,(V392+Q392)/((1-'الافتراضات'!$B$9)/(1+'الافتراضات'!$B$6)-P392-'الافتراضات'!$B$7-'الافتراضات'!$B$8))</f>
        <v/>
      </c>
    </row>
    <row r="393">
      <c r="A393" s="10" t="n">
        <v>392</v>
      </c>
      <c r="B393" s="11" t="inlineStr">
        <is>
          <t>الأطفال والألعاب</t>
        </is>
      </c>
      <c r="C393" s="11" t="inlineStr">
        <is>
          <t>مرجيحة أطفال</t>
        </is>
      </c>
      <c r="D393" s="11" t="inlineStr">
        <is>
          <t>kids swing indoor</t>
        </is>
      </c>
      <c r="E393" s="12" t="n">
        <v>102</v>
      </c>
      <c r="F393" s="10" t="inlineStr">
        <is>
          <t>تقدير</t>
        </is>
      </c>
      <c r="G393" s="10" t="inlineStr">
        <is>
          <t>تقدير</t>
        </is>
      </c>
      <c r="H393" s="10" t="inlineStr">
        <is>
          <t>لم تُفحص</t>
        </is>
      </c>
      <c r="I393" s="10" t="inlineStr">
        <is>
          <t>لم يُفحص</t>
        </is>
      </c>
      <c r="J393" s="13" t="n">
        <v>9</v>
      </c>
      <c r="K393" s="11" t="inlineStr">
        <is>
          <t>تقدير</t>
        </is>
      </c>
      <c r="L393" s="14" t="n">
        <v>2</v>
      </c>
      <c r="M393" s="10" t="inlineStr">
        <is>
          <t>كبير</t>
        </is>
      </c>
      <c r="N393" s="11" t="inlineStr">
        <is>
          <t>طوال السنة</t>
        </is>
      </c>
      <c r="O393" s="11" t="inlineStr">
        <is>
          <t>تحقق من اللوائح</t>
        </is>
      </c>
      <c r="P393" s="15" t="n">
        <v>0.14</v>
      </c>
      <c r="Q393" s="14" t="n">
        <v>15</v>
      </c>
      <c r="R393" s="14" t="n">
        <v>50</v>
      </c>
      <c r="S393" s="16">
        <f>J393*'الافتراضات'!$B$2*(1+'الافتراضات'!$B$3)</f>
        <v/>
      </c>
      <c r="T393" s="16">
        <f>L393*'الافتراضات'!$B$4</f>
        <v/>
      </c>
      <c r="U393" s="16">
        <f>(S393+T393)*'الافتراضات'!$B$5</f>
        <v/>
      </c>
      <c r="V393" s="16">
        <f>S393+T393+U393</f>
        <v/>
      </c>
      <c r="W393" s="16">
        <f>MAX(1,E393*P393)</f>
        <v/>
      </c>
      <c r="X393" s="16">
        <f>E393*'الافتراضات'!$B$7</f>
        <v/>
      </c>
      <c r="Y393" s="16">
        <f>E393*'الافتراضات'!$B$8</f>
        <v/>
      </c>
      <c r="Z393" s="16">
        <f>E393/(1+'الافتراضات'!$B$6)</f>
        <v/>
      </c>
      <c r="AA393" s="16">
        <f>Z393-V393-W393-Q393-X393-Y393</f>
        <v/>
      </c>
      <c r="AB393" s="17">
        <f>IF(Z393=0,0,AA393/Z393)</f>
        <v/>
      </c>
      <c r="AC393" s="17">
        <f>IF(V393=0,0,AA393/V393)</f>
        <v/>
      </c>
      <c r="AD393" s="18">
        <f>R393*V393</f>
        <v/>
      </c>
      <c r="AE393" s="16">
        <f>IF(AB393&gt;='الافتراضات'!$B$9,IF(O393="لا","ابدأ به","جيد – يحتاج شهادة"),IF(AB393&gt;='الافتراضات'!$B$10,"مقبول","ضعيف"))</f>
        <v/>
      </c>
      <c r="AF393" s="16">
        <f>IF((1-'الافتراضات'!$B$9)/(1+'الافتراضات'!$B$6)-P393-'الافتراضات'!$B$7-'الافتراضات'!$B$8&lt;=0,0,(V393+Q393)/((1-'الافتراضات'!$B$9)/(1+'الافتراضات'!$B$6)-P393-'الافتراضات'!$B$7-'الافتراضات'!$B$8))</f>
        <v/>
      </c>
    </row>
    <row r="394">
      <c r="A394" s="10" t="n">
        <v>393</v>
      </c>
      <c r="B394" s="11" t="inlineStr">
        <is>
          <t>الحديقة والخارج</t>
        </is>
      </c>
      <c r="C394" s="11" t="inlineStr">
        <is>
          <t>كرسي حديقة</t>
        </is>
      </c>
      <c r="D394" s="11" t="inlineStr">
        <is>
          <t>garden chair folding</t>
        </is>
      </c>
      <c r="E394" s="12" t="n">
        <v>102</v>
      </c>
      <c r="F394" s="10" t="inlineStr">
        <is>
          <t>تقدير</t>
        </is>
      </c>
      <c r="G394" s="10" t="inlineStr">
        <is>
          <t>تقدير</t>
        </is>
      </c>
      <c r="H394" s="10" t="inlineStr">
        <is>
          <t>لم تُفحص</t>
        </is>
      </c>
      <c r="I394" s="10" t="inlineStr">
        <is>
          <t>لم يُفحص</t>
        </is>
      </c>
      <c r="J394" s="13" t="n">
        <v>9</v>
      </c>
      <c r="K394" s="11" t="inlineStr">
        <is>
          <t>تقدير</t>
        </is>
      </c>
      <c r="L394" s="14" t="n">
        <v>2</v>
      </c>
      <c r="M394" s="10" t="inlineStr">
        <is>
          <t>كبير</t>
        </is>
      </c>
      <c r="N394" s="11" t="inlineStr">
        <is>
          <t>الصيف</t>
        </is>
      </c>
      <c r="O394" s="11" t="inlineStr">
        <is>
          <t>لا</t>
        </is>
      </c>
      <c r="P394" s="15" t="n">
        <v>0.14</v>
      </c>
      <c r="Q394" s="14" t="n">
        <v>15</v>
      </c>
      <c r="R394" s="14" t="n">
        <v>50</v>
      </c>
      <c r="S394" s="16">
        <f>J394*'الافتراضات'!$B$2*(1+'الافتراضات'!$B$3)</f>
        <v/>
      </c>
      <c r="T394" s="16">
        <f>L394*'الافتراضات'!$B$4</f>
        <v/>
      </c>
      <c r="U394" s="16">
        <f>(S394+T394)*'الافتراضات'!$B$5</f>
        <v/>
      </c>
      <c r="V394" s="16">
        <f>S394+T394+U394</f>
        <v/>
      </c>
      <c r="W394" s="16">
        <f>MAX(1,E394*P394)</f>
        <v/>
      </c>
      <c r="X394" s="16">
        <f>E394*'الافتراضات'!$B$7</f>
        <v/>
      </c>
      <c r="Y394" s="16">
        <f>E394*'الافتراضات'!$B$8</f>
        <v/>
      </c>
      <c r="Z394" s="16">
        <f>E394/(1+'الافتراضات'!$B$6)</f>
        <v/>
      </c>
      <c r="AA394" s="16">
        <f>Z394-V394-W394-Q394-X394-Y394</f>
        <v/>
      </c>
      <c r="AB394" s="17">
        <f>IF(Z394=0,0,AA394/Z394)</f>
        <v/>
      </c>
      <c r="AC394" s="17">
        <f>IF(V394=0,0,AA394/V394)</f>
        <v/>
      </c>
      <c r="AD394" s="18">
        <f>R394*V394</f>
        <v/>
      </c>
      <c r="AE394" s="16">
        <f>IF(AB394&gt;='الافتراضات'!$B$9,IF(O394="لا","ابدأ به","جيد – يحتاج شهادة"),IF(AB394&gt;='الافتراضات'!$B$10,"مقبول","ضعيف"))</f>
        <v/>
      </c>
      <c r="AF394" s="16">
        <f>IF((1-'الافتراضات'!$B$9)/(1+'الافتراضات'!$B$6)-P394-'الافتراضات'!$B$7-'الافتراضات'!$B$8&lt;=0,0,(V394+Q394)/((1-'الافتراضات'!$B$9)/(1+'الافتراضات'!$B$6)-P394-'الافتراضات'!$B$7-'الافتراضات'!$B$8))</f>
        <v/>
      </c>
    </row>
    <row r="395">
      <c r="A395" s="10" t="n">
        <v>394</v>
      </c>
      <c r="B395" s="11" t="inlineStr">
        <is>
          <t>الحديقة والخارج</t>
        </is>
      </c>
      <c r="C395" s="11" t="inlineStr">
        <is>
          <t>حصيرة خارجية</t>
        </is>
      </c>
      <c r="D395" s="11" t="inlineStr">
        <is>
          <t>outdoor rug mat</t>
        </is>
      </c>
      <c r="E395" s="12" t="n">
        <v>102</v>
      </c>
      <c r="F395" s="10" t="inlineStr">
        <is>
          <t>تقدير</t>
        </is>
      </c>
      <c r="G395" s="10" t="inlineStr">
        <is>
          <t>تقدير</t>
        </is>
      </c>
      <c r="H395" s="10" t="inlineStr">
        <is>
          <t>لم تُفحص</t>
        </is>
      </c>
      <c r="I395" s="10" t="inlineStr">
        <is>
          <t>لم يُفحص</t>
        </is>
      </c>
      <c r="J395" s="13" t="n">
        <v>9</v>
      </c>
      <c r="K395" s="11" t="inlineStr">
        <is>
          <t>تقدير</t>
        </is>
      </c>
      <c r="L395" s="14" t="n">
        <v>2</v>
      </c>
      <c r="M395" s="10" t="inlineStr">
        <is>
          <t>كبير</t>
        </is>
      </c>
      <c r="N395" s="11" t="inlineStr">
        <is>
          <t>طوال السنة</t>
        </is>
      </c>
      <c r="O395" s="11" t="inlineStr">
        <is>
          <t>لا</t>
        </is>
      </c>
      <c r="P395" s="15" t="n">
        <v>0.14</v>
      </c>
      <c r="Q395" s="14" t="n">
        <v>15</v>
      </c>
      <c r="R395" s="14" t="n">
        <v>50</v>
      </c>
      <c r="S395" s="16">
        <f>J395*'الافتراضات'!$B$2*(1+'الافتراضات'!$B$3)</f>
        <v/>
      </c>
      <c r="T395" s="16">
        <f>L395*'الافتراضات'!$B$4</f>
        <v/>
      </c>
      <c r="U395" s="16">
        <f>(S395+T395)*'الافتراضات'!$B$5</f>
        <v/>
      </c>
      <c r="V395" s="16">
        <f>S395+T395+U395</f>
        <v/>
      </c>
      <c r="W395" s="16">
        <f>MAX(1,E395*P395)</f>
        <v/>
      </c>
      <c r="X395" s="16">
        <f>E395*'الافتراضات'!$B$7</f>
        <v/>
      </c>
      <c r="Y395" s="16">
        <f>E395*'الافتراضات'!$B$8</f>
        <v/>
      </c>
      <c r="Z395" s="16">
        <f>E395/(1+'الافتراضات'!$B$6)</f>
        <v/>
      </c>
      <c r="AA395" s="16">
        <f>Z395-V395-W395-Q395-X395-Y395</f>
        <v/>
      </c>
      <c r="AB395" s="17">
        <f>IF(Z395=0,0,AA395/Z395)</f>
        <v/>
      </c>
      <c r="AC395" s="17">
        <f>IF(V395=0,0,AA395/V395)</f>
        <v/>
      </c>
      <c r="AD395" s="18">
        <f>R395*V395</f>
        <v/>
      </c>
      <c r="AE395" s="16">
        <f>IF(AB395&gt;='الافتراضات'!$B$9,IF(O395="لا","ابدأ به","جيد – يحتاج شهادة"),IF(AB395&gt;='الافتراضات'!$B$10,"مقبول","ضعيف"))</f>
        <v/>
      </c>
      <c r="AF395" s="16">
        <f>IF((1-'الافتراضات'!$B$9)/(1+'الافتراضات'!$B$6)-P395-'الافتراضات'!$B$7-'الافتراضات'!$B$8&lt;=0,0,(V395+Q395)/((1-'الافتراضات'!$B$9)/(1+'الافتراضات'!$B$6)-P395-'الافتراضات'!$B$7-'الافتراضات'!$B$8))</f>
        <v/>
      </c>
    </row>
    <row r="396">
      <c r="A396" s="10" t="n">
        <v>395</v>
      </c>
      <c r="B396" s="11" t="inlineStr">
        <is>
          <t>التخييم والسفر</t>
        </is>
      </c>
      <c r="C396" s="11" t="inlineStr">
        <is>
          <t>مشواة فحم محمولة</t>
        </is>
      </c>
      <c r="D396" s="11" t="inlineStr">
        <is>
          <t>portable charcoal grill</t>
        </is>
      </c>
      <c r="E396" s="12" t="n">
        <v>136</v>
      </c>
      <c r="F396" s="10" t="inlineStr">
        <is>
          <t>تقدير</t>
        </is>
      </c>
      <c r="G396" s="10" t="inlineStr">
        <is>
          <t>تقدير</t>
        </is>
      </c>
      <c r="H396" s="10" t="inlineStr">
        <is>
          <t>لم تُفحص</t>
        </is>
      </c>
      <c r="I396" s="10" t="inlineStr">
        <is>
          <t>لم يُفحص</t>
        </is>
      </c>
      <c r="J396" s="13" t="n">
        <v>12</v>
      </c>
      <c r="K396" s="11" t="inlineStr">
        <is>
          <t>تقدير</t>
        </is>
      </c>
      <c r="L396" s="14" t="n">
        <v>3</v>
      </c>
      <c r="M396" s="10" t="inlineStr">
        <is>
          <t>كبير</t>
        </is>
      </c>
      <c r="N396" s="11" t="inlineStr">
        <is>
          <t>الشتاء والكشتات</t>
        </is>
      </c>
      <c r="O396" s="11" t="inlineStr">
        <is>
          <t>لا</t>
        </is>
      </c>
      <c r="P396" s="15" t="n">
        <v>0.15</v>
      </c>
      <c r="Q396" s="14" t="n">
        <v>16</v>
      </c>
      <c r="R396" s="14" t="n">
        <v>50</v>
      </c>
      <c r="S396" s="16">
        <f>J396*'الافتراضات'!$B$2*(1+'الافتراضات'!$B$3)</f>
        <v/>
      </c>
      <c r="T396" s="16">
        <f>L396*'الافتراضات'!$B$4</f>
        <v/>
      </c>
      <c r="U396" s="16">
        <f>(S396+T396)*'الافتراضات'!$B$5</f>
        <v/>
      </c>
      <c r="V396" s="16">
        <f>S396+T396+U396</f>
        <v/>
      </c>
      <c r="W396" s="16">
        <f>MAX(1,E396*P396)</f>
        <v/>
      </c>
      <c r="X396" s="16">
        <f>E396*'الافتراضات'!$B$7</f>
        <v/>
      </c>
      <c r="Y396" s="16">
        <f>E396*'الافتراضات'!$B$8</f>
        <v/>
      </c>
      <c r="Z396" s="16">
        <f>E396/(1+'الافتراضات'!$B$6)</f>
        <v/>
      </c>
      <c r="AA396" s="16">
        <f>Z396-V396-W396-Q396-X396-Y396</f>
        <v/>
      </c>
      <c r="AB396" s="17">
        <f>IF(Z396=0,0,AA396/Z396)</f>
        <v/>
      </c>
      <c r="AC396" s="17">
        <f>IF(V396=0,0,AA396/V396)</f>
        <v/>
      </c>
      <c r="AD396" s="18">
        <f>R396*V396</f>
        <v/>
      </c>
      <c r="AE396" s="16">
        <f>IF(AB396&gt;='الافتراضات'!$B$9,IF(O396="لا","ابدأ به","جيد – يحتاج شهادة"),IF(AB396&gt;='الافتراضات'!$B$10,"مقبول","ضعيف"))</f>
        <v/>
      </c>
      <c r="AF396" s="16">
        <f>IF((1-'الافتراضات'!$B$9)/(1+'الافتراضات'!$B$6)-P396-'الافتراضات'!$B$7-'الافتراضات'!$B$8&lt;=0,0,(V396+Q396)/((1-'الافتراضات'!$B$9)/(1+'الافتراضات'!$B$6)-P396-'الافتراضات'!$B$7-'الافتراضات'!$B$8))</f>
        <v/>
      </c>
    </row>
    <row r="397">
      <c r="A397" s="10" t="n">
        <v>396</v>
      </c>
      <c r="B397" s="11" t="inlineStr">
        <is>
          <t>الأمان المنزلي</t>
        </is>
      </c>
      <c r="C397" s="11" t="inlineStr">
        <is>
          <t>جرس باب لاسلكي</t>
        </is>
      </c>
      <c r="D397" s="11" t="inlineStr">
        <is>
          <t>wireless doorbell</t>
        </is>
      </c>
      <c r="E397" s="12" t="n">
        <v>34</v>
      </c>
      <c r="F397" s="10" t="inlineStr">
        <is>
          <t>تقدير</t>
        </is>
      </c>
      <c r="G397" s="10" t="inlineStr">
        <is>
          <t>تقدير</t>
        </is>
      </c>
      <c r="H397" s="10" t="inlineStr">
        <is>
          <t>لم تُفحص</t>
        </is>
      </c>
      <c r="I397" s="10" t="inlineStr">
        <is>
          <t>لم يُفحص</t>
        </is>
      </c>
      <c r="J397" s="13" t="n">
        <v>3</v>
      </c>
      <c r="K397" s="11" t="inlineStr">
        <is>
          <t>تقدير</t>
        </is>
      </c>
      <c r="L397" s="14" t="n">
        <v>0.2</v>
      </c>
      <c r="M397" s="10" t="inlineStr">
        <is>
          <t>صغير</t>
        </is>
      </c>
      <c r="N397" s="11" t="inlineStr">
        <is>
          <t>طوال السنة</t>
        </is>
      </c>
      <c r="O397" s="11" t="inlineStr">
        <is>
          <t>SABER + بطارية ليثيوم</t>
        </is>
      </c>
      <c r="P397" s="15" t="n">
        <v>0.14</v>
      </c>
      <c r="Q397" s="14" t="n">
        <v>9</v>
      </c>
      <c r="R397" s="14" t="n">
        <v>50</v>
      </c>
      <c r="S397" s="16">
        <f>J397*'الافتراضات'!$B$2*(1+'الافتراضات'!$B$3)</f>
        <v/>
      </c>
      <c r="T397" s="16">
        <f>L397*'الافتراضات'!$B$4</f>
        <v/>
      </c>
      <c r="U397" s="16">
        <f>(S397+T397)*'الافتراضات'!$B$5</f>
        <v/>
      </c>
      <c r="V397" s="16">
        <f>S397+T397+U397</f>
        <v/>
      </c>
      <c r="W397" s="16">
        <f>MAX(1,E397*P397)</f>
        <v/>
      </c>
      <c r="X397" s="16">
        <f>E397*'الافتراضات'!$B$7</f>
        <v/>
      </c>
      <c r="Y397" s="16">
        <f>E397*'الافتراضات'!$B$8</f>
        <v/>
      </c>
      <c r="Z397" s="16">
        <f>E397/(1+'الافتراضات'!$B$6)</f>
        <v/>
      </c>
      <c r="AA397" s="16">
        <f>Z397-V397-W397-Q397-X397-Y397</f>
        <v/>
      </c>
      <c r="AB397" s="17">
        <f>IF(Z397=0,0,AA397/Z397)</f>
        <v/>
      </c>
      <c r="AC397" s="17">
        <f>IF(V397=0,0,AA397/V397)</f>
        <v/>
      </c>
      <c r="AD397" s="18">
        <f>R397*V397</f>
        <v/>
      </c>
      <c r="AE397" s="16">
        <f>IF(AB397&gt;='الافتراضات'!$B$9,IF(O397="لا","ابدأ به","جيد – يحتاج شهادة"),IF(AB397&gt;='الافتراضات'!$B$10,"مقبول","ضعيف"))</f>
        <v/>
      </c>
      <c r="AF397" s="16">
        <f>IF((1-'الافتراضات'!$B$9)/(1+'الافتراضات'!$B$6)-P397-'الافتراضات'!$B$7-'الافتراضات'!$B$8&lt;=0,0,(V397+Q397)/((1-'الافتراضات'!$B$9)/(1+'الافتراضات'!$B$6)-P397-'الافتراضات'!$B$7-'الافتراضات'!$B$8))</f>
        <v/>
      </c>
    </row>
    <row r="398">
      <c r="A398" s="10" t="n">
        <v>397</v>
      </c>
      <c r="B398" s="11" t="inlineStr">
        <is>
          <t>المنزل والمطبخ</t>
        </is>
      </c>
      <c r="C398" s="11" t="inlineStr">
        <is>
          <t>عصارة حمضيات يدوية</t>
        </is>
      </c>
      <c r="D398" s="11" t="inlineStr">
        <is>
          <t>manual citrus juicer</t>
        </is>
      </c>
      <c r="E398" s="12" t="n">
        <v>25</v>
      </c>
      <c r="F398" s="10" t="inlineStr">
        <is>
          <t>تقدير</t>
        </is>
      </c>
      <c r="G398" s="10" t="inlineStr">
        <is>
          <t>تقدير</t>
        </is>
      </c>
      <c r="H398" s="10" t="inlineStr">
        <is>
          <t>لم تُفحص</t>
        </is>
      </c>
      <c r="I398" s="10" t="inlineStr">
        <is>
          <t>لم يُفحص</t>
        </is>
      </c>
      <c r="J398" s="13" t="n">
        <v>1.5</v>
      </c>
      <c r="K398" s="11" t="inlineStr">
        <is>
          <t>تقدير</t>
        </is>
      </c>
      <c r="L398" s="14" t="n">
        <v>0.4</v>
      </c>
      <c r="M398" s="10" t="inlineStr">
        <is>
          <t>صغير</t>
        </is>
      </c>
      <c r="N398" s="11" t="inlineStr">
        <is>
          <t>طوال السنة</t>
        </is>
      </c>
      <c r="O398" s="11" t="inlineStr">
        <is>
          <t>ملامس للغذاء (SFDA)</t>
        </is>
      </c>
      <c r="P398" s="15" t="n">
        <v>0.14</v>
      </c>
      <c r="Q398" s="14" t="n">
        <v>7.5</v>
      </c>
      <c r="R398" s="14" t="n">
        <v>50</v>
      </c>
      <c r="S398" s="16">
        <f>J398*'الافتراضات'!$B$2*(1+'الافتراضات'!$B$3)</f>
        <v/>
      </c>
      <c r="T398" s="16">
        <f>L398*'الافتراضات'!$B$4</f>
        <v/>
      </c>
      <c r="U398" s="16">
        <f>(S398+T398)*'الافتراضات'!$B$5</f>
        <v/>
      </c>
      <c r="V398" s="16">
        <f>S398+T398+U398</f>
        <v/>
      </c>
      <c r="W398" s="16">
        <f>MAX(1,E398*P398)</f>
        <v/>
      </c>
      <c r="X398" s="16">
        <f>E398*'الافتراضات'!$B$7</f>
        <v/>
      </c>
      <c r="Y398" s="16">
        <f>E398*'الافتراضات'!$B$8</f>
        <v/>
      </c>
      <c r="Z398" s="16">
        <f>E398/(1+'الافتراضات'!$B$6)</f>
        <v/>
      </c>
      <c r="AA398" s="16">
        <f>Z398-V398-W398-Q398-X398-Y398</f>
        <v/>
      </c>
      <c r="AB398" s="17">
        <f>IF(Z398=0,0,AA398/Z398)</f>
        <v/>
      </c>
      <c r="AC398" s="17">
        <f>IF(V398=0,0,AA398/V398)</f>
        <v/>
      </c>
      <c r="AD398" s="18">
        <f>R398*V398</f>
        <v/>
      </c>
      <c r="AE398" s="16">
        <f>IF(AB398&gt;='الافتراضات'!$B$9,IF(O398="لا","ابدأ به","جيد – يحتاج شهادة"),IF(AB398&gt;='الافتراضات'!$B$10,"مقبول","ضعيف"))</f>
        <v/>
      </c>
      <c r="AF398" s="16">
        <f>IF((1-'الافتراضات'!$B$9)/(1+'الافتراضات'!$B$6)-P398-'الافتراضات'!$B$7-'الافتراضات'!$B$8&lt;=0,0,(V398+Q398)/((1-'الافتراضات'!$B$9)/(1+'الافتراضات'!$B$6)-P398-'الافتراضات'!$B$7-'الافتراضات'!$B$8))</f>
        <v/>
      </c>
    </row>
    <row r="399">
      <c r="A399" s="10" t="n">
        <v>398</v>
      </c>
      <c r="B399" s="11" t="inlineStr">
        <is>
          <t>الحيوانات الأليفة</t>
        </is>
      </c>
      <c r="C399" s="11" t="inlineStr">
        <is>
          <t>فلتر حوض أسماك</t>
        </is>
      </c>
      <c r="D399" s="11" t="inlineStr">
        <is>
          <t>aquarium filter pump</t>
        </is>
      </c>
      <c r="E399" s="12" t="n">
        <v>45</v>
      </c>
      <c r="F399" s="10" t="inlineStr">
        <is>
          <t>تقدير</t>
        </is>
      </c>
      <c r="G399" s="10" t="inlineStr">
        <is>
          <t>تقدير</t>
        </is>
      </c>
      <c r="H399" s="10" t="inlineStr">
        <is>
          <t>لم تُفحص</t>
        </is>
      </c>
      <c r="I399" s="10" t="inlineStr">
        <is>
          <t>لم يُفحص</t>
        </is>
      </c>
      <c r="J399" s="13" t="n">
        <v>4</v>
      </c>
      <c r="K399" s="11" t="inlineStr">
        <is>
          <t>تقدير</t>
        </is>
      </c>
      <c r="L399" s="14" t="n">
        <v>0.5</v>
      </c>
      <c r="M399" s="10" t="inlineStr">
        <is>
          <t>متوسط</t>
        </is>
      </c>
      <c r="N399" s="11" t="inlineStr">
        <is>
          <t>طوال السنة</t>
        </is>
      </c>
      <c r="O399" s="11" t="inlineStr">
        <is>
          <t>SABER</t>
        </is>
      </c>
      <c r="P399" s="15" t="n">
        <v>0.15</v>
      </c>
      <c r="Q399" s="14" t="n">
        <v>9.5</v>
      </c>
      <c r="R399" s="14" t="n">
        <v>50</v>
      </c>
      <c r="S399" s="16">
        <f>J399*'الافتراضات'!$B$2*(1+'الافتراضات'!$B$3)</f>
        <v/>
      </c>
      <c r="T399" s="16">
        <f>L399*'الافتراضات'!$B$4</f>
        <v/>
      </c>
      <c r="U399" s="16">
        <f>(S399+T399)*'الافتراضات'!$B$5</f>
        <v/>
      </c>
      <c r="V399" s="16">
        <f>S399+T399+U399</f>
        <v/>
      </c>
      <c r="W399" s="16">
        <f>MAX(1,E399*P399)</f>
        <v/>
      </c>
      <c r="X399" s="16">
        <f>E399*'الافتراضات'!$B$7</f>
        <v/>
      </c>
      <c r="Y399" s="16">
        <f>E399*'الافتراضات'!$B$8</f>
        <v/>
      </c>
      <c r="Z399" s="16">
        <f>E399/(1+'الافتراضات'!$B$6)</f>
        <v/>
      </c>
      <c r="AA399" s="16">
        <f>Z399-V399-W399-Q399-X399-Y399</f>
        <v/>
      </c>
      <c r="AB399" s="17">
        <f>IF(Z399=0,0,AA399/Z399)</f>
        <v/>
      </c>
      <c r="AC399" s="17">
        <f>IF(V399=0,0,AA399/V399)</f>
        <v/>
      </c>
      <c r="AD399" s="18">
        <f>R399*V399</f>
        <v/>
      </c>
      <c r="AE399" s="16">
        <f>IF(AB399&gt;='الافتراضات'!$B$9,IF(O399="لا","ابدأ به","جيد – يحتاج شهادة"),IF(AB399&gt;='الافتراضات'!$B$10,"مقبول","ضعيف"))</f>
        <v/>
      </c>
      <c r="AF399" s="16">
        <f>IF((1-'الافتراضات'!$B$9)/(1+'الافتراضات'!$B$6)-P399-'الافتراضات'!$B$7-'الافتراضات'!$B$8&lt;=0,0,(V399+Q399)/((1-'الافتراضات'!$B$9)/(1+'الافتراضات'!$B$6)-P399-'الافتراضات'!$B$7-'الافتراضات'!$B$8))</f>
        <v/>
      </c>
    </row>
    <row r="400">
      <c r="A400" s="10" t="n">
        <v>399</v>
      </c>
      <c r="B400" s="11" t="inlineStr">
        <is>
          <t>إكسسوارات الجوال والإلكترونيات</t>
        </is>
      </c>
      <c r="C400" s="11" t="inlineStr">
        <is>
          <t>ماوس لاسلكي صامت قابل للشحن</t>
        </is>
      </c>
      <c r="D400" s="11" t="inlineStr">
        <is>
          <t>rechargeable silent wireless mouse</t>
        </is>
      </c>
      <c r="E400" s="12" t="n">
        <v>27</v>
      </c>
      <c r="F400" s="10" t="inlineStr">
        <is>
          <t>تقدير</t>
        </is>
      </c>
      <c r="G400" s="10" t="inlineStr">
        <is>
          <t>تقدير</t>
        </is>
      </c>
      <c r="H400" s="10" t="inlineStr">
        <is>
          <t>لم تُفحص</t>
        </is>
      </c>
      <c r="I400" s="10" t="inlineStr">
        <is>
          <t>لم يُفحص</t>
        </is>
      </c>
      <c r="J400" s="13" t="n">
        <v>2.4</v>
      </c>
      <c r="K400" s="11" t="inlineStr">
        <is>
          <t>تقدير</t>
        </is>
      </c>
      <c r="L400" s="14" t="n">
        <v>0.1</v>
      </c>
      <c r="M400" s="10" t="inlineStr">
        <is>
          <t>صغير</t>
        </is>
      </c>
      <c r="N400" s="11" t="inlineStr">
        <is>
          <t>طوال السنة</t>
        </is>
      </c>
      <c r="O400" s="11" t="inlineStr">
        <is>
          <t>SABER + بطارية ليثيوم</t>
        </is>
      </c>
      <c r="P400" s="15" t="n">
        <v>0.13</v>
      </c>
      <c r="Q400" s="14" t="n">
        <v>8</v>
      </c>
      <c r="R400" s="14" t="n">
        <v>50</v>
      </c>
      <c r="S400" s="16">
        <f>J400*'الافتراضات'!$B$2*(1+'الافتراضات'!$B$3)</f>
        <v/>
      </c>
      <c r="T400" s="16">
        <f>L400*'الافتراضات'!$B$4</f>
        <v/>
      </c>
      <c r="U400" s="16">
        <f>(S400+T400)*'الافتراضات'!$B$5</f>
        <v/>
      </c>
      <c r="V400" s="16">
        <f>S400+T400+U400</f>
        <v/>
      </c>
      <c r="W400" s="16">
        <f>MAX(1,E400*P400)</f>
        <v/>
      </c>
      <c r="X400" s="16">
        <f>E400*'الافتراضات'!$B$7</f>
        <v/>
      </c>
      <c r="Y400" s="16">
        <f>E400*'الافتراضات'!$B$8</f>
        <v/>
      </c>
      <c r="Z400" s="16">
        <f>E400/(1+'الافتراضات'!$B$6)</f>
        <v/>
      </c>
      <c r="AA400" s="16">
        <f>Z400-V400-W400-Q400-X400-Y400</f>
        <v/>
      </c>
      <c r="AB400" s="17">
        <f>IF(Z400=0,0,AA400/Z400)</f>
        <v/>
      </c>
      <c r="AC400" s="17">
        <f>IF(V400=0,0,AA400/V400)</f>
        <v/>
      </c>
      <c r="AD400" s="18">
        <f>R400*V400</f>
        <v/>
      </c>
      <c r="AE400" s="16">
        <f>IF(AB400&gt;='الافتراضات'!$B$9,IF(O400="لا","ابدأ به","جيد – يحتاج شهادة"),IF(AB400&gt;='الافتراضات'!$B$10,"مقبول","ضعيف"))</f>
        <v/>
      </c>
      <c r="AF400" s="16">
        <f>IF((1-'الافتراضات'!$B$9)/(1+'الافتراضات'!$B$6)-P400-'الافتراضات'!$B$7-'الافتراضات'!$B$8&lt;=0,0,(V400+Q400)/((1-'الافتراضات'!$B$9)/(1+'الافتراضات'!$B$6)-P400-'الافتراضات'!$B$7-'الافتراضات'!$B$8))</f>
        <v/>
      </c>
    </row>
    <row r="401">
      <c r="A401" s="10" t="n">
        <v>400</v>
      </c>
      <c r="B401" s="11" t="inlineStr">
        <is>
          <t>المنزل والمطبخ</t>
        </is>
      </c>
      <c r="C401" s="11" t="inlineStr">
        <is>
          <t>ترمس شاي وقهوة 1.2 لتر</t>
        </is>
      </c>
      <c r="D401" s="11" t="inlineStr">
        <is>
          <t>thermos tea coffee flask 1.2L</t>
        </is>
      </c>
      <c r="E401" s="12" t="n">
        <v>57</v>
      </c>
      <c r="F401" s="10" t="inlineStr">
        <is>
          <t>تقدير</t>
        </is>
      </c>
      <c r="G401" s="10" t="inlineStr">
        <is>
          <t>تقدير</t>
        </is>
      </c>
      <c r="H401" s="10" t="inlineStr">
        <is>
          <t>لم تُفحص</t>
        </is>
      </c>
      <c r="I401" s="10" t="inlineStr">
        <is>
          <t>لم يُفحص</t>
        </is>
      </c>
      <c r="J401" s="13" t="n">
        <v>5</v>
      </c>
      <c r="K401" s="11" t="inlineStr">
        <is>
          <t>تقدير</t>
        </is>
      </c>
      <c r="L401" s="14" t="n">
        <v>1</v>
      </c>
      <c r="M401" s="10" t="inlineStr">
        <is>
          <t>متوسط</t>
        </is>
      </c>
      <c r="N401" s="11" t="inlineStr">
        <is>
          <t>طوال السنة</t>
        </is>
      </c>
      <c r="O401" s="11" t="inlineStr">
        <is>
          <t>ملامس للغذاء (SFDA)</t>
        </is>
      </c>
      <c r="P401" s="15" t="n">
        <v>0.14</v>
      </c>
      <c r="Q401" s="14" t="n">
        <v>10</v>
      </c>
      <c r="R401" s="14" t="n">
        <v>50</v>
      </c>
      <c r="S401" s="16">
        <f>J401*'الافتراضات'!$B$2*(1+'الافتراضات'!$B$3)</f>
        <v/>
      </c>
      <c r="T401" s="16">
        <f>L401*'الافتراضات'!$B$4</f>
        <v/>
      </c>
      <c r="U401" s="16">
        <f>(S401+T401)*'الافتراضات'!$B$5</f>
        <v/>
      </c>
      <c r="V401" s="16">
        <f>S401+T401+U401</f>
        <v/>
      </c>
      <c r="W401" s="16">
        <f>MAX(1,E401*P401)</f>
        <v/>
      </c>
      <c r="X401" s="16">
        <f>E401*'الافتراضات'!$B$7</f>
        <v/>
      </c>
      <c r="Y401" s="16">
        <f>E401*'الافتراضات'!$B$8</f>
        <v/>
      </c>
      <c r="Z401" s="16">
        <f>E401/(1+'الافتراضات'!$B$6)</f>
        <v/>
      </c>
      <c r="AA401" s="16">
        <f>Z401-V401-W401-Q401-X401-Y401</f>
        <v/>
      </c>
      <c r="AB401" s="17">
        <f>IF(Z401=0,0,AA401/Z401)</f>
        <v/>
      </c>
      <c r="AC401" s="17">
        <f>IF(V401=0,0,AA401/V401)</f>
        <v/>
      </c>
      <c r="AD401" s="18">
        <f>R401*V401</f>
        <v/>
      </c>
      <c r="AE401" s="16">
        <f>IF(AB401&gt;='الافتراضات'!$B$9,IF(O401="لا","ابدأ به","جيد – يحتاج شهادة"),IF(AB401&gt;='الافتراضات'!$B$10,"مقبول","ضعيف"))</f>
        <v/>
      </c>
      <c r="AF401" s="16">
        <f>IF((1-'الافتراضات'!$B$9)/(1+'الافتراضات'!$B$6)-P401-'الافتراضات'!$B$7-'الافتراضات'!$B$8&lt;=0,0,(V401+Q401)/((1-'الافتراضات'!$B$9)/(1+'الافتراضات'!$B$6)-P401-'الافتراضات'!$B$7-'الافتراضات'!$B$8))</f>
        <v/>
      </c>
    </row>
    <row r="402">
      <c r="A402" s="10" t="n">
        <v>401</v>
      </c>
      <c r="B402" s="11" t="inlineStr">
        <is>
          <t>رمضان والمناسبات</t>
        </is>
      </c>
      <c r="C402" s="11" t="inlineStr">
        <is>
          <t>إطار صور جدارية</t>
        </is>
      </c>
      <c r="D402" s="11" t="inlineStr">
        <is>
          <t>photo frame collage wall</t>
        </is>
      </c>
      <c r="E402" s="12" t="n">
        <v>57</v>
      </c>
      <c r="F402" s="10" t="inlineStr">
        <is>
          <t>تقدير</t>
        </is>
      </c>
      <c r="G402" s="10" t="inlineStr">
        <is>
          <t>تقدير</t>
        </is>
      </c>
      <c r="H402" s="10" t="inlineStr">
        <is>
          <t>لم تُفحص</t>
        </is>
      </c>
      <c r="I402" s="10" t="inlineStr">
        <is>
          <t>لم يُفحص</t>
        </is>
      </c>
      <c r="J402" s="13" t="n">
        <v>5</v>
      </c>
      <c r="K402" s="11" t="inlineStr">
        <is>
          <t>تقدير</t>
        </is>
      </c>
      <c r="L402" s="14" t="n">
        <v>1</v>
      </c>
      <c r="M402" s="10" t="inlineStr">
        <is>
          <t>متوسط</t>
        </is>
      </c>
      <c r="N402" s="11" t="inlineStr">
        <is>
          <t>طوال السنة</t>
        </is>
      </c>
      <c r="O402" s="11" t="inlineStr">
        <is>
          <t>لا</t>
        </is>
      </c>
      <c r="P402" s="15" t="n">
        <v>0.14</v>
      </c>
      <c r="Q402" s="14" t="n">
        <v>10</v>
      </c>
      <c r="R402" s="14" t="n">
        <v>50</v>
      </c>
      <c r="S402" s="16">
        <f>J402*'الافتراضات'!$B$2*(1+'الافتراضات'!$B$3)</f>
        <v/>
      </c>
      <c r="T402" s="16">
        <f>L402*'الافتراضات'!$B$4</f>
        <v/>
      </c>
      <c r="U402" s="16">
        <f>(S402+T402)*'الافتراضات'!$B$5</f>
        <v/>
      </c>
      <c r="V402" s="16">
        <f>S402+T402+U402</f>
        <v/>
      </c>
      <c r="W402" s="16">
        <f>MAX(1,E402*P402)</f>
        <v/>
      </c>
      <c r="X402" s="16">
        <f>E402*'الافتراضات'!$B$7</f>
        <v/>
      </c>
      <c r="Y402" s="16">
        <f>E402*'الافتراضات'!$B$8</f>
        <v/>
      </c>
      <c r="Z402" s="16">
        <f>E402/(1+'الافتراضات'!$B$6)</f>
        <v/>
      </c>
      <c r="AA402" s="16">
        <f>Z402-V402-W402-Q402-X402-Y402</f>
        <v/>
      </c>
      <c r="AB402" s="17">
        <f>IF(Z402=0,0,AA402/Z402)</f>
        <v/>
      </c>
      <c r="AC402" s="17">
        <f>IF(V402=0,0,AA402/V402)</f>
        <v/>
      </c>
      <c r="AD402" s="18">
        <f>R402*V402</f>
        <v/>
      </c>
      <c r="AE402" s="16">
        <f>IF(AB402&gt;='الافتراضات'!$B$9,IF(O402="لا","ابدأ به","جيد – يحتاج شهادة"),IF(AB402&gt;='الافتراضات'!$B$10,"مقبول","ضعيف"))</f>
        <v/>
      </c>
      <c r="AF402" s="16">
        <f>IF((1-'الافتراضات'!$B$9)/(1+'الافتراضات'!$B$6)-P402-'الافتراضات'!$B$7-'الافتراضات'!$B$8&lt;=0,0,(V402+Q402)/((1-'الافتراضات'!$B$9)/(1+'الافتراضات'!$B$6)-P402-'الافتراضات'!$B$7-'الافتراضات'!$B$8))</f>
        <v/>
      </c>
    </row>
    <row r="403">
      <c r="A403" s="10" t="n">
        <v>402</v>
      </c>
      <c r="B403" s="11" t="inlineStr">
        <is>
          <t>الرياضة واللياقة</t>
        </is>
      </c>
      <c r="C403" s="11" t="inlineStr">
        <is>
          <t>حبل قفز ذكي بعداد</t>
        </is>
      </c>
      <c r="D403" s="11" t="inlineStr">
        <is>
          <t>smart jump rope counter</t>
        </is>
      </c>
      <c r="E403" s="12" t="n">
        <v>25</v>
      </c>
      <c r="F403" s="10" t="inlineStr">
        <is>
          <t>تقدير</t>
        </is>
      </c>
      <c r="G403" s="10" t="inlineStr">
        <is>
          <t>تقدير</t>
        </is>
      </c>
      <c r="H403" s="10" t="inlineStr">
        <is>
          <t>لم تُفحص</t>
        </is>
      </c>
      <c r="I403" s="10" t="inlineStr">
        <is>
          <t>لم يُفحص</t>
        </is>
      </c>
      <c r="J403" s="13" t="n">
        <v>1.6</v>
      </c>
      <c r="K403" s="11" t="inlineStr">
        <is>
          <t>تقدير</t>
        </is>
      </c>
      <c r="L403" s="14" t="n">
        <v>0.25</v>
      </c>
      <c r="M403" s="10" t="inlineStr">
        <is>
          <t>صغير</t>
        </is>
      </c>
      <c r="N403" s="11" t="inlineStr">
        <is>
          <t>طوال السنة</t>
        </is>
      </c>
      <c r="O403" s="11" t="inlineStr">
        <is>
          <t>لا</t>
        </is>
      </c>
      <c r="P403" s="15" t="n">
        <v>0.2</v>
      </c>
      <c r="Q403" s="14" t="n">
        <v>7</v>
      </c>
      <c r="R403" s="14" t="n">
        <v>50</v>
      </c>
      <c r="S403" s="16">
        <f>J403*'الافتراضات'!$B$2*(1+'الافتراضات'!$B$3)</f>
        <v/>
      </c>
      <c r="T403" s="16">
        <f>L403*'الافتراضات'!$B$4</f>
        <v/>
      </c>
      <c r="U403" s="16">
        <f>(S403+T403)*'الافتراضات'!$B$5</f>
        <v/>
      </c>
      <c r="V403" s="16">
        <f>S403+T403+U403</f>
        <v/>
      </c>
      <c r="W403" s="16">
        <f>MAX(1,E403*P403)</f>
        <v/>
      </c>
      <c r="X403" s="16">
        <f>E403*'الافتراضات'!$B$7</f>
        <v/>
      </c>
      <c r="Y403" s="16">
        <f>E403*'الافتراضات'!$B$8</f>
        <v/>
      </c>
      <c r="Z403" s="16">
        <f>E403/(1+'الافتراضات'!$B$6)</f>
        <v/>
      </c>
      <c r="AA403" s="16">
        <f>Z403-V403-W403-Q403-X403-Y403</f>
        <v/>
      </c>
      <c r="AB403" s="17">
        <f>IF(Z403=0,0,AA403/Z403)</f>
        <v/>
      </c>
      <c r="AC403" s="17">
        <f>IF(V403=0,0,AA403/V403)</f>
        <v/>
      </c>
      <c r="AD403" s="18">
        <f>R403*V403</f>
        <v/>
      </c>
      <c r="AE403" s="16">
        <f>IF(AB403&gt;='الافتراضات'!$B$9,IF(O403="لا","ابدأ به","جيد – يحتاج شهادة"),IF(AB403&gt;='الافتراضات'!$B$10,"مقبول","ضعيف"))</f>
        <v/>
      </c>
      <c r="AF403" s="16">
        <f>IF((1-'الافتراضات'!$B$9)/(1+'الافتراضات'!$B$6)-P403-'الافتراضات'!$B$7-'الافتراضات'!$B$8&lt;=0,0,(V403+Q403)/((1-'الافتراضات'!$B$9)/(1+'الافتراضات'!$B$6)-P403-'الافتراضات'!$B$7-'الافتراضات'!$B$8))</f>
        <v/>
      </c>
    </row>
    <row r="404">
      <c r="A404" s="10" t="n">
        <v>403</v>
      </c>
      <c r="B404" s="11" t="inlineStr">
        <is>
          <t>التنظيف والغسيل</t>
        </is>
      </c>
      <c r="C404" s="11" t="inlineStr">
        <is>
          <t>مكواة سفر</t>
        </is>
      </c>
      <c r="D404" s="11" t="inlineStr">
        <is>
          <t>travel steam iron mini</t>
        </is>
      </c>
      <c r="E404" s="12" t="n">
        <v>51</v>
      </c>
      <c r="F404" s="10" t="inlineStr">
        <is>
          <t>تقدير</t>
        </is>
      </c>
      <c r="G404" s="10" t="inlineStr">
        <is>
          <t>تقدير</t>
        </is>
      </c>
      <c r="H404" s="10" t="inlineStr">
        <is>
          <t>لم تُفحص</t>
        </is>
      </c>
      <c r="I404" s="10" t="inlineStr">
        <is>
          <t>لم يُفحص</t>
        </is>
      </c>
      <c r="J404" s="13" t="n">
        <v>4.5</v>
      </c>
      <c r="K404" s="11" t="inlineStr">
        <is>
          <t>تقدير</t>
        </is>
      </c>
      <c r="L404" s="14" t="n">
        <v>0.7</v>
      </c>
      <c r="M404" s="10" t="inlineStr">
        <is>
          <t>متوسط</t>
        </is>
      </c>
      <c r="N404" s="11" t="inlineStr">
        <is>
          <t>طوال السنة</t>
        </is>
      </c>
      <c r="O404" s="11" t="inlineStr">
        <is>
          <t>SABER</t>
        </is>
      </c>
      <c r="P404" s="15" t="n">
        <v>0.15</v>
      </c>
      <c r="Q404" s="14" t="n">
        <v>10</v>
      </c>
      <c r="R404" s="14" t="n">
        <v>50</v>
      </c>
      <c r="S404" s="16">
        <f>J404*'الافتراضات'!$B$2*(1+'الافتراضات'!$B$3)</f>
        <v/>
      </c>
      <c r="T404" s="16">
        <f>L404*'الافتراضات'!$B$4</f>
        <v/>
      </c>
      <c r="U404" s="16">
        <f>(S404+T404)*'الافتراضات'!$B$5</f>
        <v/>
      </c>
      <c r="V404" s="16">
        <f>S404+T404+U404</f>
        <v/>
      </c>
      <c r="W404" s="16">
        <f>MAX(1,E404*P404)</f>
        <v/>
      </c>
      <c r="X404" s="16">
        <f>E404*'الافتراضات'!$B$7</f>
        <v/>
      </c>
      <c r="Y404" s="16">
        <f>E404*'الافتراضات'!$B$8</f>
        <v/>
      </c>
      <c r="Z404" s="16">
        <f>E404/(1+'الافتراضات'!$B$6)</f>
        <v/>
      </c>
      <c r="AA404" s="16">
        <f>Z404-V404-W404-Q404-X404-Y404</f>
        <v/>
      </c>
      <c r="AB404" s="17">
        <f>IF(Z404=0,0,AA404/Z404)</f>
        <v/>
      </c>
      <c r="AC404" s="17">
        <f>IF(V404=0,0,AA404/V404)</f>
        <v/>
      </c>
      <c r="AD404" s="18">
        <f>R404*V404</f>
        <v/>
      </c>
      <c r="AE404" s="16">
        <f>IF(AB404&gt;='الافتراضات'!$B$9,IF(O404="لا","ابدأ به","جيد – يحتاج شهادة"),IF(AB404&gt;='الافتراضات'!$B$10,"مقبول","ضعيف"))</f>
        <v/>
      </c>
      <c r="AF404" s="16">
        <f>IF((1-'الافتراضات'!$B$9)/(1+'الافتراضات'!$B$6)-P404-'الافتراضات'!$B$7-'الافتراضات'!$B$8&lt;=0,0,(V404+Q404)/((1-'الافتراضات'!$B$9)/(1+'الافتراضات'!$B$6)-P404-'الافتراضات'!$B$7-'الافتراضات'!$B$8))</f>
        <v/>
      </c>
    </row>
    <row r="405">
      <c r="A405" s="10" t="n">
        <v>404</v>
      </c>
      <c r="B405" s="11" t="inlineStr">
        <is>
          <t>إكسسوارات الجوال والإلكترونيات</t>
        </is>
      </c>
      <c r="C405" s="11" t="inlineStr">
        <is>
          <t>حامل مفاتيح تتبع ذكي</t>
        </is>
      </c>
      <c r="D405" s="11" t="inlineStr">
        <is>
          <t>smart key finder tracker</t>
        </is>
      </c>
      <c r="E405" s="12" t="n">
        <v>27</v>
      </c>
      <c r="F405" s="10" t="inlineStr">
        <is>
          <t>تقدير</t>
        </is>
      </c>
      <c r="G405" s="10" t="inlineStr">
        <is>
          <t>تقدير</t>
        </is>
      </c>
      <c r="H405" s="10" t="inlineStr">
        <is>
          <t>لم تُفحص</t>
        </is>
      </c>
      <c r="I405" s="10" t="inlineStr">
        <is>
          <t>لم يُفحص</t>
        </is>
      </c>
      <c r="J405" s="13" t="n">
        <v>2.4</v>
      </c>
      <c r="K405" s="11" t="inlineStr">
        <is>
          <t>تقدير</t>
        </is>
      </c>
      <c r="L405" s="14" t="n">
        <v>0.04</v>
      </c>
      <c r="M405" s="10" t="inlineStr">
        <is>
          <t>صغير</t>
        </is>
      </c>
      <c r="N405" s="11" t="inlineStr">
        <is>
          <t>طوال السنة</t>
        </is>
      </c>
      <c r="O405" s="11" t="inlineStr">
        <is>
          <t>SABER + بطارية ليثيوم</t>
        </is>
      </c>
      <c r="P405" s="15" t="n">
        <v>0.15</v>
      </c>
      <c r="Q405" s="14" t="n">
        <v>8</v>
      </c>
      <c r="R405" s="14" t="n">
        <v>50</v>
      </c>
      <c r="S405" s="16">
        <f>J405*'الافتراضات'!$B$2*(1+'الافتراضات'!$B$3)</f>
        <v/>
      </c>
      <c r="T405" s="16">
        <f>L405*'الافتراضات'!$B$4</f>
        <v/>
      </c>
      <c r="U405" s="16">
        <f>(S405+T405)*'الافتراضات'!$B$5</f>
        <v/>
      </c>
      <c r="V405" s="16">
        <f>S405+T405+U405</f>
        <v/>
      </c>
      <c r="W405" s="16">
        <f>MAX(1,E405*P405)</f>
        <v/>
      </c>
      <c r="X405" s="16">
        <f>E405*'الافتراضات'!$B$7</f>
        <v/>
      </c>
      <c r="Y405" s="16">
        <f>E405*'الافتراضات'!$B$8</f>
        <v/>
      </c>
      <c r="Z405" s="16">
        <f>E405/(1+'الافتراضات'!$B$6)</f>
        <v/>
      </c>
      <c r="AA405" s="16">
        <f>Z405-V405-W405-Q405-X405-Y405</f>
        <v/>
      </c>
      <c r="AB405" s="17">
        <f>IF(Z405=0,0,AA405/Z405)</f>
        <v/>
      </c>
      <c r="AC405" s="17">
        <f>IF(V405=0,0,AA405/V405)</f>
        <v/>
      </c>
      <c r="AD405" s="18">
        <f>R405*V405</f>
        <v/>
      </c>
      <c r="AE405" s="16">
        <f>IF(AB405&gt;='الافتراضات'!$B$9,IF(O405="لا","ابدأ به","جيد – يحتاج شهادة"),IF(AB405&gt;='الافتراضات'!$B$10,"مقبول","ضعيف"))</f>
        <v/>
      </c>
      <c r="AF405" s="16">
        <f>IF((1-'الافتراضات'!$B$9)/(1+'الافتراضات'!$B$6)-P405-'الافتراضات'!$B$7-'الافتراضات'!$B$8&lt;=0,0,(V405+Q405)/((1-'الافتراضات'!$B$9)/(1+'الافتراضات'!$B$6)-P405-'الافتراضات'!$B$7-'الافتراضات'!$B$8))</f>
        <v/>
      </c>
    </row>
    <row r="406">
      <c r="A406" s="10" t="n">
        <v>405</v>
      </c>
      <c r="B406" s="11" t="inlineStr">
        <is>
          <t>المنزل والمطبخ</t>
        </is>
      </c>
      <c r="C406" s="11" t="inlineStr">
        <is>
          <t>ماكينة صنع الفشار</t>
        </is>
      </c>
      <c r="D406" s="11" t="inlineStr">
        <is>
          <t>popcorn maker machine</t>
        </is>
      </c>
      <c r="E406" s="12" t="n">
        <v>102</v>
      </c>
      <c r="F406" s="10" t="inlineStr">
        <is>
          <t>تقدير</t>
        </is>
      </c>
      <c r="G406" s="10" t="inlineStr">
        <is>
          <t>تقدير</t>
        </is>
      </c>
      <c r="H406" s="10" t="inlineStr">
        <is>
          <t>لم تُفحص</t>
        </is>
      </c>
      <c r="I406" s="10" t="inlineStr">
        <is>
          <t>لم يُفحص</t>
        </is>
      </c>
      <c r="J406" s="13" t="n">
        <v>9</v>
      </c>
      <c r="K406" s="11" t="inlineStr">
        <is>
          <t>تقدير</t>
        </is>
      </c>
      <c r="L406" s="14" t="n">
        <v>2</v>
      </c>
      <c r="M406" s="10" t="inlineStr">
        <is>
          <t>كبير</t>
        </is>
      </c>
      <c r="N406" s="11" t="inlineStr">
        <is>
          <t>طوال السنة</t>
        </is>
      </c>
      <c r="O406" s="11" t="inlineStr">
        <is>
          <t>SABER</t>
        </is>
      </c>
      <c r="P406" s="15" t="n">
        <v>0.15</v>
      </c>
      <c r="Q406" s="14" t="n">
        <v>15</v>
      </c>
      <c r="R406" s="14" t="n">
        <v>50</v>
      </c>
      <c r="S406" s="16">
        <f>J406*'الافتراضات'!$B$2*(1+'الافتراضات'!$B$3)</f>
        <v/>
      </c>
      <c r="T406" s="16">
        <f>L406*'الافتراضات'!$B$4</f>
        <v/>
      </c>
      <c r="U406" s="16">
        <f>(S406+T406)*'الافتراضات'!$B$5</f>
        <v/>
      </c>
      <c r="V406" s="16">
        <f>S406+T406+U406</f>
        <v/>
      </c>
      <c r="W406" s="16">
        <f>MAX(1,E406*P406)</f>
        <v/>
      </c>
      <c r="X406" s="16">
        <f>E406*'الافتراضات'!$B$7</f>
        <v/>
      </c>
      <c r="Y406" s="16">
        <f>E406*'الافتراضات'!$B$8</f>
        <v/>
      </c>
      <c r="Z406" s="16">
        <f>E406/(1+'الافتراضات'!$B$6)</f>
        <v/>
      </c>
      <c r="AA406" s="16">
        <f>Z406-V406-W406-Q406-X406-Y406</f>
        <v/>
      </c>
      <c r="AB406" s="17">
        <f>IF(Z406=0,0,AA406/Z406)</f>
        <v/>
      </c>
      <c r="AC406" s="17">
        <f>IF(V406=0,0,AA406/V406)</f>
        <v/>
      </c>
      <c r="AD406" s="18">
        <f>R406*V406</f>
        <v/>
      </c>
      <c r="AE406" s="16">
        <f>IF(AB406&gt;='الافتراضات'!$B$9,IF(O406="لا","ابدأ به","جيد – يحتاج شهادة"),IF(AB406&gt;='الافتراضات'!$B$10,"مقبول","ضعيف"))</f>
        <v/>
      </c>
      <c r="AF406" s="16">
        <f>IF((1-'الافتراضات'!$B$9)/(1+'الافتراضات'!$B$6)-P406-'الافتراضات'!$B$7-'الافتراضات'!$B$8&lt;=0,0,(V406+Q406)/((1-'الافتراضات'!$B$9)/(1+'الافتراضات'!$B$6)-P406-'الافتراضات'!$B$7-'الافتراضات'!$B$8))</f>
        <v/>
      </c>
    </row>
    <row r="407">
      <c r="A407" s="10" t="n">
        <v>406</v>
      </c>
      <c r="B407" s="11" t="inlineStr">
        <is>
          <t>الأطفال والألعاب</t>
        </is>
      </c>
      <c r="C407" s="11" t="inlineStr">
        <is>
          <t>سجادة لعب للأطفال</t>
        </is>
      </c>
      <c r="D407" s="11" t="inlineStr">
        <is>
          <t>baby play mat foam</t>
        </is>
      </c>
      <c r="E407" s="12" t="n">
        <v>102</v>
      </c>
      <c r="F407" s="10" t="inlineStr">
        <is>
          <t>تقدير</t>
        </is>
      </c>
      <c r="G407" s="10" t="inlineStr">
        <is>
          <t>تقدير</t>
        </is>
      </c>
      <c r="H407" s="10" t="inlineStr">
        <is>
          <t>لم تُفحص</t>
        </is>
      </c>
      <c r="I407" s="10" t="inlineStr">
        <is>
          <t>لم يُفحص</t>
        </is>
      </c>
      <c r="J407" s="13" t="n">
        <v>9</v>
      </c>
      <c r="K407" s="11" t="inlineStr">
        <is>
          <t>تقدير</t>
        </is>
      </c>
      <c r="L407" s="14" t="n">
        <v>2</v>
      </c>
      <c r="M407" s="10" t="inlineStr">
        <is>
          <t>كبير</t>
        </is>
      </c>
      <c r="N407" s="11" t="inlineStr">
        <is>
          <t>طوال السنة</t>
        </is>
      </c>
      <c r="O407" s="11" t="inlineStr">
        <is>
          <t>اشتراطات سلامة الألعاب</t>
        </is>
      </c>
      <c r="P407" s="15" t="n">
        <v>0.15</v>
      </c>
      <c r="Q407" s="14" t="n">
        <v>15</v>
      </c>
      <c r="R407" s="14" t="n">
        <v>50</v>
      </c>
      <c r="S407" s="16">
        <f>J407*'الافتراضات'!$B$2*(1+'الافتراضات'!$B$3)</f>
        <v/>
      </c>
      <c r="T407" s="16">
        <f>L407*'الافتراضات'!$B$4</f>
        <v/>
      </c>
      <c r="U407" s="16">
        <f>(S407+T407)*'الافتراضات'!$B$5</f>
        <v/>
      </c>
      <c r="V407" s="16">
        <f>S407+T407+U407</f>
        <v/>
      </c>
      <c r="W407" s="16">
        <f>MAX(1,E407*P407)</f>
        <v/>
      </c>
      <c r="X407" s="16">
        <f>E407*'الافتراضات'!$B$7</f>
        <v/>
      </c>
      <c r="Y407" s="16">
        <f>E407*'الافتراضات'!$B$8</f>
        <v/>
      </c>
      <c r="Z407" s="16">
        <f>E407/(1+'الافتراضات'!$B$6)</f>
        <v/>
      </c>
      <c r="AA407" s="16">
        <f>Z407-V407-W407-Q407-X407-Y407</f>
        <v/>
      </c>
      <c r="AB407" s="17">
        <f>IF(Z407=0,0,AA407/Z407)</f>
        <v/>
      </c>
      <c r="AC407" s="17">
        <f>IF(V407=0,0,AA407/V407)</f>
        <v/>
      </c>
      <c r="AD407" s="18">
        <f>R407*V407</f>
        <v/>
      </c>
      <c r="AE407" s="16">
        <f>IF(AB407&gt;='الافتراضات'!$B$9,IF(O407="لا","ابدأ به","جيد – يحتاج شهادة"),IF(AB407&gt;='الافتراضات'!$B$10,"مقبول","ضعيف"))</f>
        <v/>
      </c>
      <c r="AF407" s="16">
        <f>IF((1-'الافتراضات'!$B$9)/(1+'الافتراضات'!$B$6)-P407-'الافتراضات'!$B$7-'الافتراضات'!$B$8&lt;=0,0,(V407+Q407)/((1-'الافتراضات'!$B$9)/(1+'الافتراضات'!$B$6)-P407-'الافتراضات'!$B$7-'الافتراضات'!$B$8))</f>
        <v/>
      </c>
    </row>
    <row r="408">
      <c r="A408" s="10" t="n">
        <v>407</v>
      </c>
      <c r="B408" s="11" t="inlineStr">
        <is>
          <t>المنزل والمطبخ</t>
        </is>
      </c>
      <c r="C408" s="11" t="inlineStr">
        <is>
          <t>ماكينة وافل صغيرة</t>
        </is>
      </c>
      <c r="D408" s="11" t="inlineStr">
        <is>
          <t>mini waffle maker</t>
        </is>
      </c>
      <c r="E408" s="12" t="n">
        <v>68</v>
      </c>
      <c r="F408" s="10" t="inlineStr">
        <is>
          <t>تقدير</t>
        </is>
      </c>
      <c r="G408" s="10" t="inlineStr">
        <is>
          <t>تقدير</t>
        </is>
      </c>
      <c r="H408" s="10" t="inlineStr">
        <is>
          <t>لم تُفحص</t>
        </is>
      </c>
      <c r="I408" s="10" t="inlineStr">
        <is>
          <t>لم يُفحص</t>
        </is>
      </c>
      <c r="J408" s="13" t="n">
        <v>6</v>
      </c>
      <c r="K408" s="11" t="inlineStr">
        <is>
          <t>تقدير</t>
        </is>
      </c>
      <c r="L408" s="14" t="n">
        <v>1.2</v>
      </c>
      <c r="M408" s="10" t="inlineStr">
        <is>
          <t>متوسط</t>
        </is>
      </c>
      <c r="N408" s="11" t="inlineStr">
        <is>
          <t>طوال السنة</t>
        </is>
      </c>
      <c r="O408" s="11" t="inlineStr">
        <is>
          <t>SABER</t>
        </is>
      </c>
      <c r="P408" s="15" t="n">
        <v>0.15</v>
      </c>
      <c r="Q408" s="14" t="n">
        <v>11.5</v>
      </c>
      <c r="R408" s="14" t="n">
        <v>50</v>
      </c>
      <c r="S408" s="16">
        <f>J408*'الافتراضات'!$B$2*(1+'الافتراضات'!$B$3)</f>
        <v/>
      </c>
      <c r="T408" s="16">
        <f>L408*'الافتراضات'!$B$4</f>
        <v/>
      </c>
      <c r="U408" s="16">
        <f>(S408+T408)*'الافتراضات'!$B$5</f>
        <v/>
      </c>
      <c r="V408" s="16">
        <f>S408+T408+U408</f>
        <v/>
      </c>
      <c r="W408" s="16">
        <f>MAX(1,E408*P408)</f>
        <v/>
      </c>
      <c r="X408" s="16">
        <f>E408*'الافتراضات'!$B$7</f>
        <v/>
      </c>
      <c r="Y408" s="16">
        <f>E408*'الافتراضات'!$B$8</f>
        <v/>
      </c>
      <c r="Z408" s="16">
        <f>E408/(1+'الافتراضات'!$B$6)</f>
        <v/>
      </c>
      <c r="AA408" s="16">
        <f>Z408-V408-W408-Q408-X408-Y408</f>
        <v/>
      </c>
      <c r="AB408" s="17">
        <f>IF(Z408=0,0,AA408/Z408)</f>
        <v/>
      </c>
      <c r="AC408" s="17">
        <f>IF(V408=0,0,AA408/V408)</f>
        <v/>
      </c>
      <c r="AD408" s="18">
        <f>R408*V408</f>
        <v/>
      </c>
      <c r="AE408" s="16">
        <f>IF(AB408&gt;='الافتراضات'!$B$9,IF(O408="لا","ابدأ به","جيد – يحتاج شهادة"),IF(AB408&gt;='الافتراضات'!$B$10,"مقبول","ضعيف"))</f>
        <v/>
      </c>
      <c r="AF408" s="16">
        <f>IF((1-'الافتراضات'!$B$9)/(1+'الافتراضات'!$B$6)-P408-'الافتراضات'!$B$7-'الافتراضات'!$B$8&lt;=0,0,(V408+Q408)/((1-'الافتراضات'!$B$9)/(1+'الافتراضات'!$B$6)-P408-'الافتراضات'!$B$7-'الافتراضات'!$B$8))</f>
        <v/>
      </c>
    </row>
    <row r="409">
      <c r="A409" s="10" t="n">
        <v>408</v>
      </c>
      <c r="B409" s="11" t="inlineStr">
        <is>
          <t>الأدوات والصيانة</t>
        </is>
      </c>
      <c r="C409" s="11" t="inlineStr">
        <is>
          <t>خرطوم مياه قابل للتمدد</t>
        </is>
      </c>
      <c r="D409" s="11" t="inlineStr">
        <is>
          <t>expandable garden hose</t>
        </is>
      </c>
      <c r="E409" s="12" t="n">
        <v>51</v>
      </c>
      <c r="F409" s="10" t="inlineStr">
        <is>
          <t>تقدير</t>
        </is>
      </c>
      <c r="G409" s="10" t="inlineStr">
        <is>
          <t>تقدير</t>
        </is>
      </c>
      <c r="H409" s="10" t="inlineStr">
        <is>
          <t>لم تُفحص</t>
        </is>
      </c>
      <c r="I409" s="10" t="inlineStr">
        <is>
          <t>لم يُفحص</t>
        </is>
      </c>
      <c r="J409" s="13" t="n">
        <v>4.5</v>
      </c>
      <c r="K409" s="11" t="inlineStr">
        <is>
          <t>تقدير</t>
        </is>
      </c>
      <c r="L409" s="14" t="n">
        <v>0.8</v>
      </c>
      <c r="M409" s="10" t="inlineStr">
        <is>
          <t>متوسط</t>
        </is>
      </c>
      <c r="N409" s="11" t="inlineStr">
        <is>
          <t>الصيف</t>
        </is>
      </c>
      <c r="O409" s="11" t="inlineStr">
        <is>
          <t>لا</t>
        </is>
      </c>
      <c r="P409" s="15" t="n">
        <v>0.14</v>
      </c>
      <c r="Q409" s="14" t="n">
        <v>10</v>
      </c>
      <c r="R409" s="14" t="n">
        <v>50</v>
      </c>
      <c r="S409" s="16">
        <f>J409*'الافتراضات'!$B$2*(1+'الافتراضات'!$B$3)</f>
        <v/>
      </c>
      <c r="T409" s="16">
        <f>L409*'الافتراضات'!$B$4</f>
        <v/>
      </c>
      <c r="U409" s="16">
        <f>(S409+T409)*'الافتراضات'!$B$5</f>
        <v/>
      </c>
      <c r="V409" s="16">
        <f>S409+T409+U409</f>
        <v/>
      </c>
      <c r="W409" s="16">
        <f>MAX(1,E409*P409)</f>
        <v/>
      </c>
      <c r="X409" s="16">
        <f>E409*'الافتراضات'!$B$7</f>
        <v/>
      </c>
      <c r="Y409" s="16">
        <f>E409*'الافتراضات'!$B$8</f>
        <v/>
      </c>
      <c r="Z409" s="16">
        <f>E409/(1+'الافتراضات'!$B$6)</f>
        <v/>
      </c>
      <c r="AA409" s="16">
        <f>Z409-V409-W409-Q409-X409-Y409</f>
        <v/>
      </c>
      <c r="AB409" s="17">
        <f>IF(Z409=0,0,AA409/Z409)</f>
        <v/>
      </c>
      <c r="AC409" s="17">
        <f>IF(V409=0,0,AA409/V409)</f>
        <v/>
      </c>
      <c r="AD409" s="18">
        <f>R409*V409</f>
        <v/>
      </c>
      <c r="AE409" s="16">
        <f>IF(AB409&gt;='الافتراضات'!$B$9,IF(O409="لا","ابدأ به","جيد – يحتاج شهادة"),IF(AB409&gt;='الافتراضات'!$B$10,"مقبول","ضعيف"))</f>
        <v/>
      </c>
      <c r="AF409" s="16">
        <f>IF((1-'الافتراضات'!$B$9)/(1+'الافتراضات'!$B$6)-P409-'الافتراضات'!$B$7-'الافتراضات'!$B$8&lt;=0,0,(V409+Q409)/((1-'الافتراضات'!$B$9)/(1+'الافتراضات'!$B$6)-P409-'الافتراضات'!$B$7-'الافتراضات'!$B$8))</f>
        <v/>
      </c>
    </row>
    <row r="410">
      <c r="A410" s="10" t="n">
        <v>409</v>
      </c>
      <c r="B410" s="11" t="inlineStr">
        <is>
          <t>إكسسوارات الجوال والإلكترونيات</t>
        </is>
      </c>
      <c r="C410" s="11" t="inlineStr">
        <is>
          <t>لمبة ذكية واي فاي RGB</t>
        </is>
      </c>
      <c r="D410" s="11" t="inlineStr">
        <is>
          <t>smart wifi LED bulb RGB</t>
        </is>
      </c>
      <c r="E410" s="12" t="n">
        <v>27</v>
      </c>
      <c r="F410" s="10" t="inlineStr">
        <is>
          <t>تقدير</t>
        </is>
      </c>
      <c r="G410" s="10" t="inlineStr">
        <is>
          <t>تقدير</t>
        </is>
      </c>
      <c r="H410" s="10" t="inlineStr">
        <is>
          <t>لم تُفحص</t>
        </is>
      </c>
      <c r="I410" s="10" t="inlineStr">
        <is>
          <t>لم يُفحص</t>
        </is>
      </c>
      <c r="J410" s="13" t="n">
        <v>2.4</v>
      </c>
      <c r="K410" s="11" t="inlineStr">
        <is>
          <t>تقدير</t>
        </is>
      </c>
      <c r="L410" s="14" t="n">
        <v>0.1</v>
      </c>
      <c r="M410" s="10" t="inlineStr">
        <is>
          <t>صغير</t>
        </is>
      </c>
      <c r="N410" s="11" t="inlineStr">
        <is>
          <t>طوال السنة</t>
        </is>
      </c>
      <c r="O410" s="11" t="inlineStr">
        <is>
          <t>SABER</t>
        </is>
      </c>
      <c r="P410" s="15" t="n">
        <v>0.14</v>
      </c>
      <c r="Q410" s="14" t="n">
        <v>8</v>
      </c>
      <c r="R410" s="14" t="n">
        <v>50</v>
      </c>
      <c r="S410" s="16">
        <f>J410*'الافتراضات'!$B$2*(1+'الافتراضات'!$B$3)</f>
        <v/>
      </c>
      <c r="T410" s="16">
        <f>L410*'الافتراضات'!$B$4</f>
        <v/>
      </c>
      <c r="U410" s="16">
        <f>(S410+T410)*'الافتراضات'!$B$5</f>
        <v/>
      </c>
      <c r="V410" s="16">
        <f>S410+T410+U410</f>
        <v/>
      </c>
      <c r="W410" s="16">
        <f>MAX(1,E410*P410)</f>
        <v/>
      </c>
      <c r="X410" s="16">
        <f>E410*'الافتراضات'!$B$7</f>
        <v/>
      </c>
      <c r="Y410" s="16">
        <f>E410*'الافتراضات'!$B$8</f>
        <v/>
      </c>
      <c r="Z410" s="16">
        <f>E410/(1+'الافتراضات'!$B$6)</f>
        <v/>
      </c>
      <c r="AA410" s="16">
        <f>Z410-V410-W410-Q410-X410-Y410</f>
        <v/>
      </c>
      <c r="AB410" s="17">
        <f>IF(Z410=0,0,AA410/Z410)</f>
        <v/>
      </c>
      <c r="AC410" s="17">
        <f>IF(V410=0,0,AA410/V410)</f>
        <v/>
      </c>
      <c r="AD410" s="18">
        <f>R410*V410</f>
        <v/>
      </c>
      <c r="AE410" s="16">
        <f>IF(AB410&gt;='الافتراضات'!$B$9,IF(O410="لا","ابدأ به","جيد – يحتاج شهادة"),IF(AB410&gt;='الافتراضات'!$B$10,"مقبول","ضعيف"))</f>
        <v/>
      </c>
      <c r="AF410" s="16">
        <f>IF((1-'الافتراضات'!$B$9)/(1+'الافتراضات'!$B$6)-P410-'الافتراضات'!$B$7-'الافتراضات'!$B$8&lt;=0,0,(V410+Q410)/((1-'الافتراضات'!$B$9)/(1+'الافتراضات'!$B$6)-P410-'الافتراضات'!$B$7-'الافتراضات'!$B$8))</f>
        <v/>
      </c>
    </row>
    <row r="411">
      <c r="A411" s="10" t="n">
        <v>410</v>
      </c>
      <c r="B411" s="11" t="inlineStr">
        <is>
          <t>المنزل والمطبخ</t>
        </is>
      </c>
      <c r="C411" s="11" t="inlineStr">
        <is>
          <t>مبشرة متعددة</t>
        </is>
      </c>
      <c r="D411" s="11" t="inlineStr">
        <is>
          <t>box grater 4 sides</t>
        </is>
      </c>
      <c r="E411" s="12" t="n">
        <v>25</v>
      </c>
      <c r="F411" s="10" t="inlineStr">
        <is>
          <t>تقدير</t>
        </is>
      </c>
      <c r="G411" s="10" t="inlineStr">
        <is>
          <t>تقدير</t>
        </is>
      </c>
      <c r="H411" s="10" t="inlineStr">
        <is>
          <t>لم تُفحص</t>
        </is>
      </c>
      <c r="I411" s="10" t="inlineStr">
        <is>
          <t>لم يُفحص</t>
        </is>
      </c>
      <c r="J411" s="13" t="n">
        <v>1.6</v>
      </c>
      <c r="K411" s="11" t="inlineStr">
        <is>
          <t>تقدير</t>
        </is>
      </c>
      <c r="L411" s="14" t="n">
        <v>0.4</v>
      </c>
      <c r="M411" s="10" t="inlineStr">
        <is>
          <t>صغير</t>
        </is>
      </c>
      <c r="N411" s="11" t="inlineStr">
        <is>
          <t>طوال السنة</t>
        </is>
      </c>
      <c r="O411" s="11" t="inlineStr">
        <is>
          <t>ملامس للغذاء (SFDA)</t>
        </is>
      </c>
      <c r="P411" s="15" t="n">
        <v>0.14</v>
      </c>
      <c r="Q411" s="14" t="n">
        <v>7.5</v>
      </c>
      <c r="R411" s="14" t="n">
        <v>50</v>
      </c>
      <c r="S411" s="16">
        <f>J411*'الافتراضات'!$B$2*(1+'الافتراضات'!$B$3)</f>
        <v/>
      </c>
      <c r="T411" s="16">
        <f>L411*'الافتراضات'!$B$4</f>
        <v/>
      </c>
      <c r="U411" s="16">
        <f>(S411+T411)*'الافتراضات'!$B$5</f>
        <v/>
      </c>
      <c r="V411" s="16">
        <f>S411+T411+U411</f>
        <v/>
      </c>
      <c r="W411" s="16">
        <f>MAX(1,E411*P411)</f>
        <v/>
      </c>
      <c r="X411" s="16">
        <f>E411*'الافتراضات'!$B$7</f>
        <v/>
      </c>
      <c r="Y411" s="16">
        <f>E411*'الافتراضات'!$B$8</f>
        <v/>
      </c>
      <c r="Z411" s="16">
        <f>E411/(1+'الافتراضات'!$B$6)</f>
        <v/>
      </c>
      <c r="AA411" s="16">
        <f>Z411-V411-W411-Q411-X411-Y411</f>
        <v/>
      </c>
      <c r="AB411" s="17">
        <f>IF(Z411=0,0,AA411/Z411)</f>
        <v/>
      </c>
      <c r="AC411" s="17">
        <f>IF(V411=0,0,AA411/V411)</f>
        <v/>
      </c>
      <c r="AD411" s="18">
        <f>R411*V411</f>
        <v/>
      </c>
      <c r="AE411" s="16">
        <f>IF(AB411&gt;='الافتراضات'!$B$9,IF(O411="لا","ابدأ به","جيد – يحتاج شهادة"),IF(AB411&gt;='الافتراضات'!$B$10,"مقبول","ضعيف"))</f>
        <v/>
      </c>
      <c r="AF411" s="16">
        <f>IF((1-'الافتراضات'!$B$9)/(1+'الافتراضات'!$B$6)-P411-'الافتراضات'!$B$7-'الافتراضات'!$B$8&lt;=0,0,(V411+Q411)/((1-'الافتراضات'!$B$9)/(1+'الافتراضات'!$B$6)-P411-'الافتراضات'!$B$7-'الافتراضات'!$B$8))</f>
        <v/>
      </c>
    </row>
    <row r="412">
      <c r="A412" s="10" t="n">
        <v>411</v>
      </c>
      <c r="B412" s="11" t="inlineStr">
        <is>
          <t>المنزل والمطبخ</t>
        </is>
      </c>
      <c r="C412" s="11" t="inlineStr">
        <is>
          <t>أكياس سيليكون لحفظ الطعام</t>
        </is>
      </c>
      <c r="D412" s="11" t="inlineStr">
        <is>
          <t>reusable silicone food bags</t>
        </is>
      </c>
      <c r="E412" s="12" t="n">
        <v>25</v>
      </c>
      <c r="F412" s="10" t="inlineStr">
        <is>
          <t>تقدير</t>
        </is>
      </c>
      <c r="G412" s="10" t="inlineStr">
        <is>
          <t>تقدير</t>
        </is>
      </c>
      <c r="H412" s="10" t="inlineStr">
        <is>
          <t>لم تُفحص</t>
        </is>
      </c>
      <c r="I412" s="10" t="inlineStr">
        <is>
          <t>لم يُفحص</t>
        </is>
      </c>
      <c r="J412" s="13" t="n">
        <v>1.8</v>
      </c>
      <c r="K412" s="11" t="inlineStr">
        <is>
          <t>تقدير</t>
        </is>
      </c>
      <c r="L412" s="14" t="n">
        <v>0.3</v>
      </c>
      <c r="M412" s="10" t="inlineStr">
        <is>
          <t>صغير</t>
        </is>
      </c>
      <c r="N412" s="11" t="inlineStr">
        <is>
          <t>طوال السنة</t>
        </is>
      </c>
      <c r="O412" s="11" t="inlineStr">
        <is>
          <t>ملامس للغذاء (SFDA)</t>
        </is>
      </c>
      <c r="P412" s="15" t="n">
        <v>0.14</v>
      </c>
      <c r="Q412" s="14" t="n">
        <v>7.5</v>
      </c>
      <c r="R412" s="14" t="n">
        <v>50</v>
      </c>
      <c r="S412" s="16">
        <f>J412*'الافتراضات'!$B$2*(1+'الافتراضات'!$B$3)</f>
        <v/>
      </c>
      <c r="T412" s="16">
        <f>L412*'الافتراضات'!$B$4</f>
        <v/>
      </c>
      <c r="U412" s="16">
        <f>(S412+T412)*'الافتراضات'!$B$5</f>
        <v/>
      </c>
      <c r="V412" s="16">
        <f>S412+T412+U412</f>
        <v/>
      </c>
      <c r="W412" s="16">
        <f>MAX(1,E412*P412)</f>
        <v/>
      </c>
      <c r="X412" s="16">
        <f>E412*'الافتراضات'!$B$7</f>
        <v/>
      </c>
      <c r="Y412" s="16">
        <f>E412*'الافتراضات'!$B$8</f>
        <v/>
      </c>
      <c r="Z412" s="16">
        <f>E412/(1+'الافتراضات'!$B$6)</f>
        <v/>
      </c>
      <c r="AA412" s="16">
        <f>Z412-V412-W412-Q412-X412-Y412</f>
        <v/>
      </c>
      <c r="AB412" s="17">
        <f>IF(Z412=0,0,AA412/Z412)</f>
        <v/>
      </c>
      <c r="AC412" s="17">
        <f>IF(V412=0,0,AA412/V412)</f>
        <v/>
      </c>
      <c r="AD412" s="18">
        <f>R412*V412</f>
        <v/>
      </c>
      <c r="AE412" s="16">
        <f>IF(AB412&gt;='الافتراضات'!$B$9,IF(O412="لا","ابدأ به","جيد – يحتاج شهادة"),IF(AB412&gt;='الافتراضات'!$B$10,"مقبول","ضعيف"))</f>
        <v/>
      </c>
      <c r="AF412" s="16">
        <f>IF((1-'الافتراضات'!$B$9)/(1+'الافتراضات'!$B$6)-P412-'الافتراضات'!$B$7-'الافتراضات'!$B$8&lt;=0,0,(V412+Q412)/((1-'الافتراضات'!$B$9)/(1+'الافتراضات'!$B$6)-P412-'الافتراضات'!$B$7-'الافتراضات'!$B$8))</f>
        <v/>
      </c>
    </row>
    <row r="413">
      <c r="A413" s="10" t="n">
        <v>412</v>
      </c>
      <c r="B413" s="11" t="inlineStr">
        <is>
          <t>رمضان والمناسبات</t>
        </is>
      </c>
      <c r="C413" s="11" t="inlineStr">
        <is>
          <t>حقيبة هدايا فاخرة</t>
        </is>
      </c>
      <c r="D413" s="11" t="inlineStr">
        <is>
          <t>luxury gift bag set</t>
        </is>
      </c>
      <c r="E413" s="12" t="n">
        <v>25</v>
      </c>
      <c r="F413" s="10" t="inlineStr">
        <is>
          <t>تقدير</t>
        </is>
      </c>
      <c r="G413" s="10" t="inlineStr">
        <is>
          <t>تقدير</t>
        </is>
      </c>
      <c r="H413" s="10" t="inlineStr">
        <is>
          <t>لم تُفحص</t>
        </is>
      </c>
      <c r="I413" s="10" t="inlineStr">
        <is>
          <t>لم يُفحص</t>
        </is>
      </c>
      <c r="J413" s="13" t="n">
        <v>1.8</v>
      </c>
      <c r="K413" s="11" t="inlineStr">
        <is>
          <t>تقدير</t>
        </is>
      </c>
      <c r="L413" s="14" t="n">
        <v>0.3</v>
      </c>
      <c r="M413" s="10" t="inlineStr">
        <is>
          <t>صغير</t>
        </is>
      </c>
      <c r="N413" s="11" t="inlineStr">
        <is>
          <t>طوال السنة</t>
        </is>
      </c>
      <c r="O413" s="11" t="inlineStr">
        <is>
          <t>لا</t>
        </is>
      </c>
      <c r="P413" s="15" t="n">
        <v>0.14</v>
      </c>
      <c r="Q413" s="14" t="n">
        <v>7.5</v>
      </c>
      <c r="R413" s="14" t="n">
        <v>50</v>
      </c>
      <c r="S413" s="16">
        <f>J413*'الافتراضات'!$B$2*(1+'الافتراضات'!$B$3)</f>
        <v/>
      </c>
      <c r="T413" s="16">
        <f>L413*'الافتراضات'!$B$4</f>
        <v/>
      </c>
      <c r="U413" s="16">
        <f>(S413+T413)*'الافتراضات'!$B$5</f>
        <v/>
      </c>
      <c r="V413" s="16">
        <f>S413+T413+U413</f>
        <v/>
      </c>
      <c r="W413" s="16">
        <f>MAX(1,E413*P413)</f>
        <v/>
      </c>
      <c r="X413" s="16">
        <f>E413*'الافتراضات'!$B$7</f>
        <v/>
      </c>
      <c r="Y413" s="16">
        <f>E413*'الافتراضات'!$B$8</f>
        <v/>
      </c>
      <c r="Z413" s="16">
        <f>E413/(1+'الافتراضات'!$B$6)</f>
        <v/>
      </c>
      <c r="AA413" s="16">
        <f>Z413-V413-W413-Q413-X413-Y413</f>
        <v/>
      </c>
      <c r="AB413" s="17">
        <f>IF(Z413=0,0,AA413/Z413)</f>
        <v/>
      </c>
      <c r="AC413" s="17">
        <f>IF(V413=0,0,AA413/V413)</f>
        <v/>
      </c>
      <c r="AD413" s="18">
        <f>R413*V413</f>
        <v/>
      </c>
      <c r="AE413" s="16">
        <f>IF(AB413&gt;='الافتراضات'!$B$9,IF(O413="لا","ابدأ به","جيد – يحتاج شهادة"),IF(AB413&gt;='الافتراضات'!$B$10,"مقبول","ضعيف"))</f>
        <v/>
      </c>
      <c r="AF413" s="16">
        <f>IF((1-'الافتراضات'!$B$9)/(1+'الافتراضات'!$B$6)-P413-'الافتراضات'!$B$7-'الافتراضات'!$B$8&lt;=0,0,(V413+Q413)/((1-'الافتراضات'!$B$9)/(1+'الافتراضات'!$B$6)-P413-'الافتراضات'!$B$7-'الافتراضات'!$B$8))</f>
        <v/>
      </c>
    </row>
    <row r="414">
      <c r="A414" s="10" t="n">
        <v>413</v>
      </c>
      <c r="B414" s="11" t="inlineStr">
        <is>
          <t>الحيوانات الأليفة</t>
        </is>
      </c>
      <c r="C414" s="11" t="inlineStr">
        <is>
          <t>حوض أسماك صغير</t>
        </is>
      </c>
      <c r="D414" s="11" t="inlineStr">
        <is>
          <t>small aquarium fish tank</t>
        </is>
      </c>
      <c r="E414" s="12" t="n">
        <v>158</v>
      </c>
      <c r="F414" s="10" t="inlineStr">
        <is>
          <t>تقدير</t>
        </is>
      </c>
      <c r="G414" s="10" t="inlineStr">
        <is>
          <t>تقدير</t>
        </is>
      </c>
      <c r="H414" s="10" t="inlineStr">
        <is>
          <t>لم تُفحص</t>
        </is>
      </c>
      <c r="I414" s="10" t="inlineStr">
        <is>
          <t>لم يُفحص</t>
        </is>
      </c>
      <c r="J414" s="13" t="n">
        <v>14</v>
      </c>
      <c r="K414" s="11" t="inlineStr">
        <is>
          <t>تقدير</t>
        </is>
      </c>
      <c r="L414" s="14" t="n">
        <v>4</v>
      </c>
      <c r="M414" s="10" t="inlineStr">
        <is>
          <t>كبير</t>
        </is>
      </c>
      <c r="N414" s="11" t="inlineStr">
        <is>
          <t>طوال السنة</t>
        </is>
      </c>
      <c r="O414" s="11" t="inlineStr">
        <is>
          <t>SABER</t>
        </is>
      </c>
      <c r="P414" s="15" t="n">
        <v>0.15</v>
      </c>
      <c r="Q414" s="14" t="n">
        <v>17</v>
      </c>
      <c r="R414" s="14" t="n">
        <v>50</v>
      </c>
      <c r="S414" s="16">
        <f>J414*'الافتراضات'!$B$2*(1+'الافتراضات'!$B$3)</f>
        <v/>
      </c>
      <c r="T414" s="16">
        <f>L414*'الافتراضات'!$B$4</f>
        <v/>
      </c>
      <c r="U414" s="16">
        <f>(S414+T414)*'الافتراضات'!$B$5</f>
        <v/>
      </c>
      <c r="V414" s="16">
        <f>S414+T414+U414</f>
        <v/>
      </c>
      <c r="W414" s="16">
        <f>MAX(1,E414*P414)</f>
        <v/>
      </c>
      <c r="X414" s="16">
        <f>E414*'الافتراضات'!$B$7</f>
        <v/>
      </c>
      <c r="Y414" s="16">
        <f>E414*'الافتراضات'!$B$8</f>
        <v/>
      </c>
      <c r="Z414" s="16">
        <f>E414/(1+'الافتراضات'!$B$6)</f>
        <v/>
      </c>
      <c r="AA414" s="16">
        <f>Z414-V414-W414-Q414-X414-Y414</f>
        <v/>
      </c>
      <c r="AB414" s="17">
        <f>IF(Z414=0,0,AA414/Z414)</f>
        <v/>
      </c>
      <c r="AC414" s="17">
        <f>IF(V414=0,0,AA414/V414)</f>
        <v/>
      </c>
      <c r="AD414" s="18">
        <f>R414*V414</f>
        <v/>
      </c>
      <c r="AE414" s="16">
        <f>IF(AB414&gt;='الافتراضات'!$B$9,IF(O414="لا","ابدأ به","جيد – يحتاج شهادة"),IF(AB414&gt;='الافتراضات'!$B$10,"مقبول","ضعيف"))</f>
        <v/>
      </c>
      <c r="AF414" s="16">
        <f>IF((1-'الافتراضات'!$B$9)/(1+'الافتراضات'!$B$6)-P414-'الافتراضات'!$B$7-'الافتراضات'!$B$8&lt;=0,0,(V414+Q414)/((1-'الافتراضات'!$B$9)/(1+'الافتراضات'!$B$6)-P414-'الافتراضات'!$B$7-'الافتراضات'!$B$8))</f>
        <v/>
      </c>
    </row>
    <row r="415">
      <c r="A415" s="10" t="n">
        <v>414</v>
      </c>
      <c r="B415" s="11" t="inlineStr">
        <is>
          <t>الحقائب والسفر</t>
        </is>
      </c>
      <c r="C415" s="11" t="inlineStr">
        <is>
          <t>عربة تسوق قابلة للطي</t>
        </is>
      </c>
      <c r="D415" s="11" t="inlineStr">
        <is>
          <t>foldable shopping trolley</t>
        </is>
      </c>
      <c r="E415" s="12" t="n">
        <v>136</v>
      </c>
      <c r="F415" s="10" t="inlineStr">
        <is>
          <t>تقدير</t>
        </is>
      </c>
      <c r="G415" s="10" t="inlineStr">
        <is>
          <t>تقدير</t>
        </is>
      </c>
      <c r="H415" s="10" t="inlineStr">
        <is>
          <t>لم تُفحص</t>
        </is>
      </c>
      <c r="I415" s="10" t="inlineStr">
        <is>
          <t>لم يُفحص</t>
        </is>
      </c>
      <c r="J415" s="13" t="n">
        <v>12</v>
      </c>
      <c r="K415" s="11" t="inlineStr">
        <is>
          <t>تقدير</t>
        </is>
      </c>
      <c r="L415" s="14" t="n">
        <v>2.5</v>
      </c>
      <c r="M415" s="10" t="inlineStr">
        <is>
          <t>كبير</t>
        </is>
      </c>
      <c r="N415" s="11" t="inlineStr">
        <is>
          <t>طوال السنة</t>
        </is>
      </c>
      <c r="O415" s="11" t="inlineStr">
        <is>
          <t>لا</t>
        </is>
      </c>
      <c r="P415" s="15" t="n">
        <v>0.2</v>
      </c>
      <c r="Q415" s="14" t="n">
        <v>16</v>
      </c>
      <c r="R415" s="14" t="n">
        <v>50</v>
      </c>
      <c r="S415" s="16">
        <f>J415*'الافتراضات'!$B$2*(1+'الافتراضات'!$B$3)</f>
        <v/>
      </c>
      <c r="T415" s="16">
        <f>L415*'الافتراضات'!$B$4</f>
        <v/>
      </c>
      <c r="U415" s="16">
        <f>(S415+T415)*'الافتراضات'!$B$5</f>
        <v/>
      </c>
      <c r="V415" s="16">
        <f>S415+T415+U415</f>
        <v/>
      </c>
      <c r="W415" s="16">
        <f>MAX(1,E415*P415)</f>
        <v/>
      </c>
      <c r="X415" s="16">
        <f>E415*'الافتراضات'!$B$7</f>
        <v/>
      </c>
      <c r="Y415" s="16">
        <f>E415*'الافتراضات'!$B$8</f>
        <v/>
      </c>
      <c r="Z415" s="16">
        <f>E415/(1+'الافتراضات'!$B$6)</f>
        <v/>
      </c>
      <c r="AA415" s="16">
        <f>Z415-V415-W415-Q415-X415-Y415</f>
        <v/>
      </c>
      <c r="AB415" s="17">
        <f>IF(Z415=0,0,AA415/Z415)</f>
        <v/>
      </c>
      <c r="AC415" s="17">
        <f>IF(V415=0,0,AA415/V415)</f>
        <v/>
      </c>
      <c r="AD415" s="18">
        <f>R415*V415</f>
        <v/>
      </c>
      <c r="AE415" s="16">
        <f>IF(AB415&gt;='الافتراضات'!$B$9,IF(O415="لا","ابدأ به","جيد – يحتاج شهادة"),IF(AB415&gt;='الافتراضات'!$B$10,"مقبول","ضعيف"))</f>
        <v/>
      </c>
      <c r="AF415" s="16">
        <f>IF((1-'الافتراضات'!$B$9)/(1+'الافتراضات'!$B$6)-P415-'الافتراضات'!$B$7-'الافتراضات'!$B$8&lt;=0,0,(V415+Q415)/((1-'الافتراضات'!$B$9)/(1+'الافتراضات'!$B$6)-P415-'الافتراضات'!$B$7-'الافتراضات'!$B$8))</f>
        <v/>
      </c>
    </row>
    <row r="416">
      <c r="A416" s="10" t="n">
        <v>415</v>
      </c>
      <c r="B416" s="11" t="inlineStr">
        <is>
          <t>الرياضة واللياقة</t>
        </is>
      </c>
      <c r="C416" s="11" t="inlineStr">
        <is>
          <t>قفازات دراجات</t>
        </is>
      </c>
      <c r="D416" s="11" t="inlineStr">
        <is>
          <t>cycling gloves</t>
        </is>
      </c>
      <c r="E416" s="12" t="n">
        <v>25</v>
      </c>
      <c r="F416" s="10" t="inlineStr">
        <is>
          <t>تقدير</t>
        </is>
      </c>
      <c r="G416" s="10" t="inlineStr">
        <is>
          <t>تقدير</t>
        </is>
      </c>
      <c r="H416" s="10" t="inlineStr">
        <is>
          <t>لم تُفحص</t>
        </is>
      </c>
      <c r="I416" s="10" t="inlineStr">
        <is>
          <t>لم يُفحص</t>
        </is>
      </c>
      <c r="J416" s="13" t="n">
        <v>2.2</v>
      </c>
      <c r="K416" s="11" t="inlineStr">
        <is>
          <t>تقدير</t>
        </is>
      </c>
      <c r="L416" s="14" t="n">
        <v>0.1</v>
      </c>
      <c r="M416" s="10" t="inlineStr">
        <is>
          <t>صغير</t>
        </is>
      </c>
      <c r="N416" s="11" t="inlineStr">
        <is>
          <t>طوال السنة</t>
        </is>
      </c>
      <c r="O416" s="11" t="inlineStr">
        <is>
          <t>لا</t>
        </is>
      </c>
      <c r="P416" s="15" t="n">
        <v>0.2</v>
      </c>
      <c r="Q416" s="14" t="n">
        <v>6</v>
      </c>
      <c r="R416" s="14" t="n">
        <v>50</v>
      </c>
      <c r="S416" s="16">
        <f>J416*'الافتراضات'!$B$2*(1+'الافتراضات'!$B$3)</f>
        <v/>
      </c>
      <c r="T416" s="16">
        <f>L416*'الافتراضات'!$B$4</f>
        <v/>
      </c>
      <c r="U416" s="16">
        <f>(S416+T416)*'الافتراضات'!$B$5</f>
        <v/>
      </c>
      <c r="V416" s="16">
        <f>S416+T416+U416</f>
        <v/>
      </c>
      <c r="W416" s="16">
        <f>MAX(1,E416*P416)</f>
        <v/>
      </c>
      <c r="X416" s="16">
        <f>E416*'الافتراضات'!$B$7</f>
        <v/>
      </c>
      <c r="Y416" s="16">
        <f>E416*'الافتراضات'!$B$8</f>
        <v/>
      </c>
      <c r="Z416" s="16">
        <f>E416/(1+'الافتراضات'!$B$6)</f>
        <v/>
      </c>
      <c r="AA416" s="16">
        <f>Z416-V416-W416-Q416-X416-Y416</f>
        <v/>
      </c>
      <c r="AB416" s="17">
        <f>IF(Z416=0,0,AA416/Z416)</f>
        <v/>
      </c>
      <c r="AC416" s="17">
        <f>IF(V416=0,0,AA416/V416)</f>
        <v/>
      </c>
      <c r="AD416" s="18">
        <f>R416*V416</f>
        <v/>
      </c>
      <c r="AE416" s="16">
        <f>IF(AB416&gt;='الافتراضات'!$B$9,IF(O416="لا","ابدأ به","جيد – يحتاج شهادة"),IF(AB416&gt;='الافتراضات'!$B$10,"مقبول","ضعيف"))</f>
        <v/>
      </c>
      <c r="AF416" s="16">
        <f>IF((1-'الافتراضات'!$B$9)/(1+'الافتراضات'!$B$6)-P416-'الافتراضات'!$B$7-'الافتراضات'!$B$8&lt;=0,0,(V416+Q416)/((1-'الافتراضات'!$B$9)/(1+'الافتراضات'!$B$6)-P416-'الافتراضات'!$B$7-'الافتراضات'!$B$8))</f>
        <v/>
      </c>
    </row>
    <row r="417">
      <c r="A417" s="10" t="n">
        <v>416</v>
      </c>
      <c r="B417" s="11" t="inlineStr">
        <is>
          <t>التخييم والسفر</t>
        </is>
      </c>
      <c r="C417" s="11" t="inlineStr">
        <is>
          <t>فانوس تخييم LED قابل للشحن</t>
        </is>
      </c>
      <c r="D417" s="11" t="inlineStr">
        <is>
          <t>rechargeable camping lantern</t>
        </is>
      </c>
      <c r="E417" s="12" t="n">
        <v>38</v>
      </c>
      <c r="F417" s="10" t="inlineStr">
        <is>
          <t>تقدير</t>
        </is>
      </c>
      <c r="G417" s="10" t="inlineStr">
        <is>
          <t>تقدير</t>
        </is>
      </c>
      <c r="H417" s="10" t="inlineStr">
        <is>
          <t>لم تُفحص</t>
        </is>
      </c>
      <c r="I417" s="10" t="inlineStr">
        <is>
          <t>لم يُفحص</t>
        </is>
      </c>
      <c r="J417" s="13" t="n">
        <v>3.4</v>
      </c>
      <c r="K417" s="11" t="inlineStr">
        <is>
          <t>تقدير</t>
        </is>
      </c>
      <c r="L417" s="14" t="n">
        <v>0.4</v>
      </c>
      <c r="M417" s="10" t="inlineStr">
        <is>
          <t>صغير</t>
        </is>
      </c>
      <c r="N417" s="11" t="inlineStr">
        <is>
          <t>الشتاء والكشتات</t>
        </is>
      </c>
      <c r="O417" s="11" t="inlineStr">
        <is>
          <t>SABER + بطارية ليثيوم</t>
        </is>
      </c>
      <c r="P417" s="15" t="n">
        <v>0.13</v>
      </c>
      <c r="Q417" s="14" t="n">
        <v>9.5</v>
      </c>
      <c r="R417" s="14" t="n">
        <v>50</v>
      </c>
      <c r="S417" s="16">
        <f>J417*'الافتراضات'!$B$2*(1+'الافتراضات'!$B$3)</f>
        <v/>
      </c>
      <c r="T417" s="16">
        <f>L417*'الافتراضات'!$B$4</f>
        <v/>
      </c>
      <c r="U417" s="16">
        <f>(S417+T417)*'الافتراضات'!$B$5</f>
        <v/>
      </c>
      <c r="V417" s="16">
        <f>S417+T417+U417</f>
        <v/>
      </c>
      <c r="W417" s="16">
        <f>MAX(1,E417*P417)</f>
        <v/>
      </c>
      <c r="X417" s="16">
        <f>E417*'الافتراضات'!$B$7</f>
        <v/>
      </c>
      <c r="Y417" s="16">
        <f>E417*'الافتراضات'!$B$8</f>
        <v/>
      </c>
      <c r="Z417" s="16">
        <f>E417/(1+'الافتراضات'!$B$6)</f>
        <v/>
      </c>
      <c r="AA417" s="16">
        <f>Z417-V417-W417-Q417-X417-Y417</f>
        <v/>
      </c>
      <c r="AB417" s="17">
        <f>IF(Z417=0,0,AA417/Z417)</f>
        <v/>
      </c>
      <c r="AC417" s="17">
        <f>IF(V417=0,0,AA417/V417)</f>
        <v/>
      </c>
      <c r="AD417" s="18">
        <f>R417*V417</f>
        <v/>
      </c>
      <c r="AE417" s="16">
        <f>IF(AB417&gt;='الافتراضات'!$B$9,IF(O417="لا","ابدأ به","جيد – يحتاج شهادة"),IF(AB417&gt;='الافتراضات'!$B$10,"مقبول","ضعيف"))</f>
        <v/>
      </c>
      <c r="AF417" s="16">
        <f>IF((1-'الافتراضات'!$B$9)/(1+'الافتراضات'!$B$6)-P417-'الافتراضات'!$B$7-'الافتراضات'!$B$8&lt;=0,0,(V417+Q417)/((1-'الافتراضات'!$B$9)/(1+'الافتراضات'!$B$6)-P417-'الافتراضات'!$B$7-'الافتراضات'!$B$8))</f>
        <v/>
      </c>
    </row>
    <row r="418">
      <c r="A418" s="10" t="n">
        <v>417</v>
      </c>
      <c r="B418" s="11" t="inlineStr">
        <is>
          <t>السيارات والدراجات</t>
        </is>
      </c>
      <c r="C418" s="11" t="inlineStr">
        <is>
          <t>إضاءة دراجة LED قابلة للشحن</t>
        </is>
      </c>
      <c r="D418" s="11" t="inlineStr">
        <is>
          <t>bike light USB rechargeable set</t>
        </is>
      </c>
      <c r="E418" s="12" t="n">
        <v>29</v>
      </c>
      <c r="F418" s="10" t="inlineStr">
        <is>
          <t>تقدير</t>
        </is>
      </c>
      <c r="G418" s="10" t="inlineStr">
        <is>
          <t>تقدير</t>
        </is>
      </c>
      <c r="H418" s="10" t="inlineStr">
        <is>
          <t>لم تُفحص</t>
        </is>
      </c>
      <c r="I418" s="10" t="inlineStr">
        <is>
          <t>لم يُفحص</t>
        </is>
      </c>
      <c r="J418" s="13" t="n">
        <v>2.6</v>
      </c>
      <c r="K418" s="11" t="inlineStr">
        <is>
          <t>تقدير</t>
        </is>
      </c>
      <c r="L418" s="14" t="n">
        <v>0.2</v>
      </c>
      <c r="M418" s="10" t="inlineStr">
        <is>
          <t>صغير</t>
        </is>
      </c>
      <c r="N418" s="11" t="inlineStr">
        <is>
          <t>طوال السنة</t>
        </is>
      </c>
      <c r="O418" s="11" t="inlineStr">
        <is>
          <t>SABER + بطارية ليثيوم</t>
        </is>
      </c>
      <c r="P418" s="15" t="n">
        <v>0.1</v>
      </c>
      <c r="Q418" s="14" t="n">
        <v>9</v>
      </c>
      <c r="R418" s="14" t="n">
        <v>50</v>
      </c>
      <c r="S418" s="16">
        <f>J418*'الافتراضات'!$B$2*(1+'الافتراضات'!$B$3)</f>
        <v/>
      </c>
      <c r="T418" s="16">
        <f>L418*'الافتراضات'!$B$4</f>
        <v/>
      </c>
      <c r="U418" s="16">
        <f>(S418+T418)*'الافتراضات'!$B$5</f>
        <v/>
      </c>
      <c r="V418" s="16">
        <f>S418+T418+U418</f>
        <v/>
      </c>
      <c r="W418" s="16">
        <f>MAX(1,E418*P418)</f>
        <v/>
      </c>
      <c r="X418" s="16">
        <f>E418*'الافتراضات'!$B$7</f>
        <v/>
      </c>
      <c r="Y418" s="16">
        <f>E418*'الافتراضات'!$B$8</f>
        <v/>
      </c>
      <c r="Z418" s="16">
        <f>E418/(1+'الافتراضات'!$B$6)</f>
        <v/>
      </c>
      <c r="AA418" s="16">
        <f>Z418-V418-W418-Q418-X418-Y418</f>
        <v/>
      </c>
      <c r="AB418" s="17">
        <f>IF(Z418=0,0,AA418/Z418)</f>
        <v/>
      </c>
      <c r="AC418" s="17">
        <f>IF(V418=0,0,AA418/V418)</f>
        <v/>
      </c>
      <c r="AD418" s="18">
        <f>R418*V418</f>
        <v/>
      </c>
      <c r="AE418" s="16">
        <f>IF(AB418&gt;='الافتراضات'!$B$9,IF(O418="لا","ابدأ به","جيد – يحتاج شهادة"),IF(AB418&gt;='الافتراضات'!$B$10,"مقبول","ضعيف"))</f>
        <v/>
      </c>
      <c r="AF418" s="16">
        <f>IF((1-'الافتراضات'!$B$9)/(1+'الافتراضات'!$B$6)-P418-'الافتراضات'!$B$7-'الافتراضات'!$B$8&lt;=0,0,(V418+Q418)/((1-'الافتراضات'!$B$9)/(1+'الافتراضات'!$B$6)-P418-'الافتراضات'!$B$7-'الافتراضات'!$B$8))</f>
        <v/>
      </c>
    </row>
    <row r="419">
      <c r="A419" s="10" t="n">
        <v>418</v>
      </c>
      <c r="B419" s="11" t="inlineStr">
        <is>
          <t>المنزل والمطبخ</t>
        </is>
      </c>
      <c r="C419" s="11" t="inlineStr">
        <is>
          <t>سكاكين مطبخ طقم مع حامل</t>
        </is>
      </c>
      <c r="D419" s="11" t="inlineStr">
        <is>
          <t>kitchen knife set block</t>
        </is>
      </c>
      <c r="E419" s="12" t="n">
        <v>102</v>
      </c>
      <c r="F419" s="10" t="inlineStr">
        <is>
          <t>تقدير</t>
        </is>
      </c>
      <c r="G419" s="10" t="inlineStr">
        <is>
          <t>تقدير</t>
        </is>
      </c>
      <c r="H419" s="10" t="inlineStr">
        <is>
          <t>لم تُفحص</t>
        </is>
      </c>
      <c r="I419" s="10" t="inlineStr">
        <is>
          <t>لم يُفحص</t>
        </is>
      </c>
      <c r="J419" s="13" t="n">
        <v>9</v>
      </c>
      <c r="K419" s="11" t="inlineStr">
        <is>
          <t>تقدير</t>
        </is>
      </c>
      <c r="L419" s="14" t="n">
        <v>2.2</v>
      </c>
      <c r="M419" s="10" t="inlineStr">
        <is>
          <t>كبير</t>
        </is>
      </c>
      <c r="N419" s="11" t="inlineStr">
        <is>
          <t>طوال السنة</t>
        </is>
      </c>
      <c r="O419" s="11" t="inlineStr">
        <is>
          <t>ملامس للغذاء (SFDA)</t>
        </is>
      </c>
      <c r="P419" s="15" t="n">
        <v>0.14</v>
      </c>
      <c r="Q419" s="14" t="n">
        <v>16</v>
      </c>
      <c r="R419" s="14" t="n">
        <v>50</v>
      </c>
      <c r="S419" s="16">
        <f>J419*'الافتراضات'!$B$2*(1+'الافتراضات'!$B$3)</f>
        <v/>
      </c>
      <c r="T419" s="16">
        <f>L419*'الافتراضات'!$B$4</f>
        <v/>
      </c>
      <c r="U419" s="16">
        <f>(S419+T419)*'الافتراضات'!$B$5</f>
        <v/>
      </c>
      <c r="V419" s="16">
        <f>S419+T419+U419</f>
        <v/>
      </c>
      <c r="W419" s="16">
        <f>MAX(1,E419*P419)</f>
        <v/>
      </c>
      <c r="X419" s="16">
        <f>E419*'الافتراضات'!$B$7</f>
        <v/>
      </c>
      <c r="Y419" s="16">
        <f>E419*'الافتراضات'!$B$8</f>
        <v/>
      </c>
      <c r="Z419" s="16">
        <f>E419/(1+'الافتراضات'!$B$6)</f>
        <v/>
      </c>
      <c r="AA419" s="16">
        <f>Z419-V419-W419-Q419-X419-Y419</f>
        <v/>
      </c>
      <c r="AB419" s="17">
        <f>IF(Z419=0,0,AA419/Z419)</f>
        <v/>
      </c>
      <c r="AC419" s="17">
        <f>IF(V419=0,0,AA419/V419)</f>
        <v/>
      </c>
      <c r="AD419" s="18">
        <f>R419*V419</f>
        <v/>
      </c>
      <c r="AE419" s="16">
        <f>IF(AB419&gt;='الافتراضات'!$B$9,IF(O419="لا","ابدأ به","جيد – يحتاج شهادة"),IF(AB419&gt;='الافتراضات'!$B$10,"مقبول","ضعيف"))</f>
        <v/>
      </c>
      <c r="AF419" s="16">
        <f>IF((1-'الافتراضات'!$B$9)/(1+'الافتراضات'!$B$6)-P419-'الافتراضات'!$B$7-'الافتراضات'!$B$8&lt;=0,0,(V419+Q419)/((1-'الافتراضات'!$B$9)/(1+'الافتراضات'!$B$6)-P419-'الافتراضات'!$B$7-'الافتراضات'!$B$8))</f>
        <v/>
      </c>
    </row>
    <row r="420">
      <c r="A420" s="10" t="n">
        <v>419</v>
      </c>
      <c r="B420" s="11" t="inlineStr">
        <is>
          <t>التخييم والسفر</t>
        </is>
      </c>
      <c r="C420" s="11" t="inlineStr">
        <is>
          <t>حبل تخييم متعدد الأغراض</t>
        </is>
      </c>
      <c r="D420" s="11" t="inlineStr">
        <is>
          <t>paracord 550 camping rope</t>
        </is>
      </c>
      <c r="E420" s="12" t="n">
        <v>25</v>
      </c>
      <c r="F420" s="10" t="inlineStr">
        <is>
          <t>تقدير</t>
        </is>
      </c>
      <c r="G420" s="10" t="inlineStr">
        <is>
          <t>تقدير</t>
        </is>
      </c>
      <c r="H420" s="10" t="inlineStr">
        <is>
          <t>لم تُفحص</t>
        </is>
      </c>
      <c r="I420" s="10" t="inlineStr">
        <is>
          <t>لم يُفحص</t>
        </is>
      </c>
      <c r="J420" s="13" t="n">
        <v>1.8</v>
      </c>
      <c r="K420" s="11" t="inlineStr">
        <is>
          <t>تقدير</t>
        </is>
      </c>
      <c r="L420" s="14" t="n">
        <v>0.2</v>
      </c>
      <c r="M420" s="10" t="inlineStr">
        <is>
          <t>صغير</t>
        </is>
      </c>
      <c r="N420" s="11" t="inlineStr">
        <is>
          <t>طوال السنة</t>
        </is>
      </c>
      <c r="O420" s="11" t="inlineStr">
        <is>
          <t>لا</t>
        </is>
      </c>
      <c r="P420" s="15" t="n">
        <v>0.2</v>
      </c>
      <c r="Q420" s="14" t="n">
        <v>7</v>
      </c>
      <c r="R420" s="14" t="n">
        <v>50</v>
      </c>
      <c r="S420" s="16">
        <f>J420*'الافتراضات'!$B$2*(1+'الافتراضات'!$B$3)</f>
        <v/>
      </c>
      <c r="T420" s="16">
        <f>L420*'الافتراضات'!$B$4</f>
        <v/>
      </c>
      <c r="U420" s="16">
        <f>(S420+T420)*'الافتراضات'!$B$5</f>
        <v/>
      </c>
      <c r="V420" s="16">
        <f>S420+T420+U420</f>
        <v/>
      </c>
      <c r="W420" s="16">
        <f>MAX(1,E420*P420)</f>
        <v/>
      </c>
      <c r="X420" s="16">
        <f>E420*'الافتراضات'!$B$7</f>
        <v/>
      </c>
      <c r="Y420" s="16">
        <f>E420*'الافتراضات'!$B$8</f>
        <v/>
      </c>
      <c r="Z420" s="16">
        <f>E420/(1+'الافتراضات'!$B$6)</f>
        <v/>
      </c>
      <c r="AA420" s="16">
        <f>Z420-V420-W420-Q420-X420-Y420</f>
        <v/>
      </c>
      <c r="AB420" s="17">
        <f>IF(Z420=0,0,AA420/Z420)</f>
        <v/>
      </c>
      <c r="AC420" s="17">
        <f>IF(V420=0,0,AA420/V420)</f>
        <v/>
      </c>
      <c r="AD420" s="18">
        <f>R420*V420</f>
        <v/>
      </c>
      <c r="AE420" s="16">
        <f>IF(AB420&gt;='الافتراضات'!$B$9,IF(O420="لا","ابدأ به","جيد – يحتاج شهادة"),IF(AB420&gt;='الافتراضات'!$B$10,"مقبول","ضعيف"))</f>
        <v/>
      </c>
      <c r="AF420" s="16">
        <f>IF((1-'الافتراضات'!$B$9)/(1+'الافتراضات'!$B$6)-P420-'الافتراضات'!$B$7-'الافتراضات'!$B$8&lt;=0,0,(V420+Q420)/((1-'الافتراضات'!$B$9)/(1+'الافتراضات'!$B$6)-P420-'الافتراضات'!$B$7-'الافتراضات'!$B$8))</f>
        <v/>
      </c>
    </row>
    <row r="421">
      <c r="A421" s="10" t="n">
        <v>420</v>
      </c>
      <c r="B421" s="11" t="inlineStr">
        <is>
          <t>المنزل والمطبخ</t>
        </is>
      </c>
      <c r="C421" s="11" t="inlineStr">
        <is>
          <t>مطحنة ملح وفلفل كهربائية</t>
        </is>
      </c>
      <c r="D421" s="11" t="inlineStr">
        <is>
          <t>electric salt pepper grinder</t>
        </is>
      </c>
      <c r="E421" s="12" t="n">
        <v>40</v>
      </c>
      <c r="F421" s="10" t="inlineStr">
        <is>
          <t>تقدير</t>
        </is>
      </c>
      <c r="G421" s="10" t="inlineStr">
        <is>
          <t>تقدير</t>
        </is>
      </c>
      <c r="H421" s="10" t="inlineStr">
        <is>
          <t>لم تُفحص</t>
        </is>
      </c>
      <c r="I421" s="10" t="inlineStr">
        <is>
          <t>لم يُفحص</t>
        </is>
      </c>
      <c r="J421" s="13" t="n">
        <v>3.5</v>
      </c>
      <c r="K421" s="11" t="inlineStr">
        <is>
          <t>تقدير</t>
        </is>
      </c>
      <c r="L421" s="14" t="n">
        <v>0.5</v>
      </c>
      <c r="M421" s="10" t="inlineStr">
        <is>
          <t>صغير</t>
        </is>
      </c>
      <c r="N421" s="11" t="inlineStr">
        <is>
          <t>طوال السنة</t>
        </is>
      </c>
      <c r="O421" s="11" t="inlineStr">
        <is>
          <t>SABER + بطارية ليثيوم</t>
        </is>
      </c>
      <c r="P421" s="15" t="n">
        <v>0.14</v>
      </c>
      <c r="Q421" s="14" t="n">
        <v>9.5</v>
      </c>
      <c r="R421" s="14" t="n">
        <v>50</v>
      </c>
      <c r="S421" s="16">
        <f>J421*'الافتراضات'!$B$2*(1+'الافتراضات'!$B$3)</f>
        <v/>
      </c>
      <c r="T421" s="16">
        <f>L421*'الافتراضات'!$B$4</f>
        <v/>
      </c>
      <c r="U421" s="16">
        <f>(S421+T421)*'الافتراضات'!$B$5</f>
        <v/>
      </c>
      <c r="V421" s="16">
        <f>S421+T421+U421</f>
        <v/>
      </c>
      <c r="W421" s="16">
        <f>MAX(1,E421*P421)</f>
        <v/>
      </c>
      <c r="X421" s="16">
        <f>E421*'الافتراضات'!$B$7</f>
        <v/>
      </c>
      <c r="Y421" s="16">
        <f>E421*'الافتراضات'!$B$8</f>
        <v/>
      </c>
      <c r="Z421" s="16">
        <f>E421/(1+'الافتراضات'!$B$6)</f>
        <v/>
      </c>
      <c r="AA421" s="16">
        <f>Z421-V421-W421-Q421-X421-Y421</f>
        <v/>
      </c>
      <c r="AB421" s="17">
        <f>IF(Z421=0,0,AA421/Z421)</f>
        <v/>
      </c>
      <c r="AC421" s="17">
        <f>IF(V421=0,0,AA421/V421)</f>
        <v/>
      </c>
      <c r="AD421" s="18">
        <f>R421*V421</f>
        <v/>
      </c>
      <c r="AE421" s="16">
        <f>IF(AB421&gt;='الافتراضات'!$B$9,IF(O421="لا","ابدأ به","جيد – يحتاج شهادة"),IF(AB421&gt;='الافتراضات'!$B$10,"مقبول","ضعيف"))</f>
        <v/>
      </c>
      <c r="AF421" s="16">
        <f>IF((1-'الافتراضات'!$B$9)/(1+'الافتراضات'!$B$6)-P421-'الافتراضات'!$B$7-'الافتراضات'!$B$8&lt;=0,0,(V421+Q421)/((1-'الافتراضات'!$B$9)/(1+'الافتراضات'!$B$6)-P421-'الافتراضات'!$B$7-'الافتراضات'!$B$8))</f>
        <v/>
      </c>
    </row>
    <row r="422">
      <c r="A422" s="10" t="n">
        <v>421</v>
      </c>
      <c r="B422" s="11" t="inlineStr">
        <is>
          <t>المكتب والدراسة</t>
        </is>
      </c>
      <c r="C422" s="11" t="inlineStr">
        <is>
          <t>آلة حاسبة علمية</t>
        </is>
      </c>
      <c r="D422" s="11" t="inlineStr">
        <is>
          <t>scientific calculator</t>
        </is>
      </c>
      <c r="E422" s="12" t="n">
        <v>29</v>
      </c>
      <c r="F422" s="10" t="inlineStr">
        <is>
          <t>تقدير</t>
        </is>
      </c>
      <c r="G422" s="10" t="inlineStr">
        <is>
          <t>تقدير</t>
        </is>
      </c>
      <c r="H422" s="10" t="inlineStr">
        <is>
          <t>لم تُفحص</t>
        </is>
      </c>
      <c r="I422" s="10" t="inlineStr">
        <is>
          <t>لم يُفحص</t>
        </is>
      </c>
      <c r="J422" s="13" t="n">
        <v>2.6</v>
      </c>
      <c r="K422" s="11" t="inlineStr">
        <is>
          <t>تقدير</t>
        </is>
      </c>
      <c r="L422" s="14" t="n">
        <v>0.15</v>
      </c>
      <c r="M422" s="10" t="inlineStr">
        <is>
          <t>صغير</t>
        </is>
      </c>
      <c r="N422" s="11" t="inlineStr">
        <is>
          <t>العودة للمدارس</t>
        </is>
      </c>
      <c r="O422" s="11" t="inlineStr">
        <is>
          <t>SABER + بطارية ليثيوم</t>
        </is>
      </c>
      <c r="P422" s="15" t="n">
        <v>0.12</v>
      </c>
      <c r="Q422" s="14" t="n">
        <v>9</v>
      </c>
      <c r="R422" s="14" t="n">
        <v>50</v>
      </c>
      <c r="S422" s="16">
        <f>J422*'الافتراضات'!$B$2*(1+'الافتراضات'!$B$3)</f>
        <v/>
      </c>
      <c r="T422" s="16">
        <f>L422*'الافتراضات'!$B$4</f>
        <v/>
      </c>
      <c r="U422" s="16">
        <f>(S422+T422)*'الافتراضات'!$B$5</f>
        <v/>
      </c>
      <c r="V422" s="16">
        <f>S422+T422+U422</f>
        <v/>
      </c>
      <c r="W422" s="16">
        <f>MAX(1,E422*P422)</f>
        <v/>
      </c>
      <c r="X422" s="16">
        <f>E422*'الافتراضات'!$B$7</f>
        <v/>
      </c>
      <c r="Y422" s="16">
        <f>E422*'الافتراضات'!$B$8</f>
        <v/>
      </c>
      <c r="Z422" s="16">
        <f>E422/(1+'الافتراضات'!$B$6)</f>
        <v/>
      </c>
      <c r="AA422" s="16">
        <f>Z422-V422-W422-Q422-X422-Y422</f>
        <v/>
      </c>
      <c r="AB422" s="17">
        <f>IF(Z422=0,0,AA422/Z422)</f>
        <v/>
      </c>
      <c r="AC422" s="17">
        <f>IF(V422=0,0,AA422/V422)</f>
        <v/>
      </c>
      <c r="AD422" s="18">
        <f>R422*V422</f>
        <v/>
      </c>
      <c r="AE422" s="16">
        <f>IF(AB422&gt;='الافتراضات'!$B$9,IF(O422="لا","ابدأ به","جيد – يحتاج شهادة"),IF(AB422&gt;='الافتراضات'!$B$10,"مقبول","ضعيف"))</f>
        <v/>
      </c>
      <c r="AF422" s="16">
        <f>IF((1-'الافتراضات'!$B$9)/(1+'الافتراضات'!$B$6)-P422-'الافتراضات'!$B$7-'الافتراضات'!$B$8&lt;=0,0,(V422+Q422)/((1-'الافتراضات'!$B$9)/(1+'الافتراضات'!$B$6)-P422-'الافتراضات'!$B$7-'الافتراضات'!$B$8))</f>
        <v/>
      </c>
    </row>
    <row r="423">
      <c r="A423" s="10" t="n">
        <v>422</v>
      </c>
      <c r="B423" s="11" t="inlineStr">
        <is>
          <t>المنزل والمطبخ</t>
        </is>
      </c>
      <c r="C423" s="11" t="inlineStr">
        <is>
          <t>ميزان مطبخ رقمي</t>
        </is>
      </c>
      <c r="D423" s="11" t="inlineStr">
        <is>
          <t>digital kitchen scale</t>
        </is>
      </c>
      <c r="E423" s="12" t="n">
        <v>25</v>
      </c>
      <c r="F423" s="10" t="inlineStr">
        <is>
          <t>تقدير</t>
        </is>
      </c>
      <c r="G423" s="10" t="inlineStr">
        <is>
          <t>تقدير</t>
        </is>
      </c>
      <c r="H423" s="10" t="inlineStr">
        <is>
          <t>لم تُفحص</t>
        </is>
      </c>
      <c r="I423" s="10" t="inlineStr">
        <is>
          <t>لم يُفحص</t>
        </is>
      </c>
      <c r="J423" s="13" t="n">
        <v>1.7</v>
      </c>
      <c r="K423" s="11" t="inlineStr">
        <is>
          <t>تقدير</t>
        </is>
      </c>
      <c r="L423" s="14" t="n">
        <v>0.35</v>
      </c>
      <c r="M423" s="10" t="inlineStr">
        <is>
          <t>صغير</t>
        </is>
      </c>
      <c r="N423" s="11" t="inlineStr">
        <is>
          <t>طوال السنة</t>
        </is>
      </c>
      <c r="O423" s="11" t="inlineStr">
        <is>
          <t>SABER + بطارية ليثيوم</t>
        </is>
      </c>
      <c r="P423" s="15" t="n">
        <v>0.15</v>
      </c>
      <c r="Q423" s="14" t="n">
        <v>7.5</v>
      </c>
      <c r="R423" s="14" t="n">
        <v>50</v>
      </c>
      <c r="S423" s="16">
        <f>J423*'الافتراضات'!$B$2*(1+'الافتراضات'!$B$3)</f>
        <v/>
      </c>
      <c r="T423" s="16">
        <f>L423*'الافتراضات'!$B$4</f>
        <v/>
      </c>
      <c r="U423" s="16">
        <f>(S423+T423)*'الافتراضات'!$B$5</f>
        <v/>
      </c>
      <c r="V423" s="16">
        <f>S423+T423+U423</f>
        <v/>
      </c>
      <c r="W423" s="16">
        <f>MAX(1,E423*P423)</f>
        <v/>
      </c>
      <c r="X423" s="16">
        <f>E423*'الافتراضات'!$B$7</f>
        <v/>
      </c>
      <c r="Y423" s="16">
        <f>E423*'الافتراضات'!$B$8</f>
        <v/>
      </c>
      <c r="Z423" s="16">
        <f>E423/(1+'الافتراضات'!$B$6)</f>
        <v/>
      </c>
      <c r="AA423" s="16">
        <f>Z423-V423-W423-Q423-X423-Y423</f>
        <v/>
      </c>
      <c r="AB423" s="17">
        <f>IF(Z423=0,0,AA423/Z423)</f>
        <v/>
      </c>
      <c r="AC423" s="17">
        <f>IF(V423=0,0,AA423/V423)</f>
        <v/>
      </c>
      <c r="AD423" s="18">
        <f>R423*V423</f>
        <v/>
      </c>
      <c r="AE423" s="16">
        <f>IF(AB423&gt;='الافتراضات'!$B$9,IF(O423="لا","ابدأ به","جيد – يحتاج شهادة"),IF(AB423&gt;='الافتراضات'!$B$10,"مقبول","ضعيف"))</f>
        <v/>
      </c>
      <c r="AF423" s="16">
        <f>IF((1-'الافتراضات'!$B$9)/(1+'الافتراضات'!$B$6)-P423-'الافتراضات'!$B$7-'الافتراضات'!$B$8&lt;=0,0,(V423+Q423)/((1-'الافتراضات'!$B$9)/(1+'الافتراضات'!$B$6)-P423-'الافتراضات'!$B$7-'الافتراضات'!$B$8))</f>
        <v/>
      </c>
    </row>
    <row r="424">
      <c r="A424" s="10" t="n">
        <v>423</v>
      </c>
      <c r="B424" s="11" t="inlineStr">
        <is>
          <t>الحقائب والسفر</t>
        </is>
      </c>
      <c r="C424" s="11" t="inlineStr">
        <is>
          <t>حقيبة ظهر مقاومة للماء</t>
        </is>
      </c>
      <c r="D424" s="11" t="inlineStr">
        <is>
          <t>waterproof backpack daily</t>
        </is>
      </c>
      <c r="E424" s="12" t="n">
        <v>68</v>
      </c>
      <c r="F424" s="10" t="inlineStr">
        <is>
          <t>تقدير</t>
        </is>
      </c>
      <c r="G424" s="10" t="inlineStr">
        <is>
          <t>تقدير</t>
        </is>
      </c>
      <c r="H424" s="10" t="inlineStr">
        <is>
          <t>لم تُفحص</t>
        </is>
      </c>
      <c r="I424" s="10" t="inlineStr">
        <is>
          <t>لم يُفحص</t>
        </is>
      </c>
      <c r="J424" s="13" t="n">
        <v>6</v>
      </c>
      <c r="K424" s="11" t="inlineStr">
        <is>
          <t>تقدير</t>
        </is>
      </c>
      <c r="L424" s="14" t="n">
        <v>0.7</v>
      </c>
      <c r="M424" s="10" t="inlineStr">
        <is>
          <t>متوسط</t>
        </is>
      </c>
      <c r="N424" s="11" t="inlineStr">
        <is>
          <t>طوال السنة</t>
        </is>
      </c>
      <c r="O424" s="11" t="inlineStr">
        <is>
          <t>لا</t>
        </is>
      </c>
      <c r="P424" s="15" t="n">
        <v>0.25</v>
      </c>
      <c r="Q424" s="14" t="n">
        <v>10</v>
      </c>
      <c r="R424" s="14" t="n">
        <v>50</v>
      </c>
      <c r="S424" s="16">
        <f>J424*'الافتراضات'!$B$2*(1+'الافتراضات'!$B$3)</f>
        <v/>
      </c>
      <c r="T424" s="16">
        <f>L424*'الافتراضات'!$B$4</f>
        <v/>
      </c>
      <c r="U424" s="16">
        <f>(S424+T424)*'الافتراضات'!$B$5</f>
        <v/>
      </c>
      <c r="V424" s="16">
        <f>S424+T424+U424</f>
        <v/>
      </c>
      <c r="W424" s="16">
        <f>MAX(1,E424*P424)</f>
        <v/>
      </c>
      <c r="X424" s="16">
        <f>E424*'الافتراضات'!$B$7</f>
        <v/>
      </c>
      <c r="Y424" s="16">
        <f>E424*'الافتراضات'!$B$8</f>
        <v/>
      </c>
      <c r="Z424" s="16">
        <f>E424/(1+'الافتراضات'!$B$6)</f>
        <v/>
      </c>
      <c r="AA424" s="16">
        <f>Z424-V424-W424-Q424-X424-Y424</f>
        <v/>
      </c>
      <c r="AB424" s="17">
        <f>IF(Z424=0,0,AA424/Z424)</f>
        <v/>
      </c>
      <c r="AC424" s="17">
        <f>IF(V424=0,0,AA424/V424)</f>
        <v/>
      </c>
      <c r="AD424" s="18">
        <f>R424*V424</f>
        <v/>
      </c>
      <c r="AE424" s="16">
        <f>IF(AB424&gt;='الافتراضات'!$B$9,IF(O424="لا","ابدأ به","جيد – يحتاج شهادة"),IF(AB424&gt;='الافتراضات'!$B$10,"مقبول","ضعيف"))</f>
        <v/>
      </c>
      <c r="AF424" s="16">
        <f>IF((1-'الافتراضات'!$B$9)/(1+'الافتراضات'!$B$6)-P424-'الافتراضات'!$B$7-'الافتراضات'!$B$8&lt;=0,0,(V424+Q424)/((1-'الافتراضات'!$B$9)/(1+'الافتراضات'!$B$6)-P424-'الافتراضات'!$B$7-'الافتراضات'!$B$8))</f>
        <v/>
      </c>
    </row>
    <row r="425">
      <c r="A425" s="10" t="n">
        <v>424</v>
      </c>
      <c r="B425" s="11" t="inlineStr">
        <is>
          <t>الرياضة واللياقة</t>
        </is>
      </c>
      <c r="C425" s="11" t="inlineStr">
        <is>
          <t>بار تمارين للباب</t>
        </is>
      </c>
      <c r="D425" s="11" t="inlineStr">
        <is>
          <t>doorway pull up bar</t>
        </is>
      </c>
      <c r="E425" s="12" t="n">
        <v>68</v>
      </c>
      <c r="F425" s="10" t="inlineStr">
        <is>
          <t>تقدير</t>
        </is>
      </c>
      <c r="G425" s="10" t="inlineStr">
        <is>
          <t>تقدير</t>
        </is>
      </c>
      <c r="H425" s="10" t="inlineStr">
        <is>
          <t>لم تُفحص</t>
        </is>
      </c>
      <c r="I425" s="10" t="inlineStr">
        <is>
          <t>لم يُفحص</t>
        </is>
      </c>
      <c r="J425" s="13" t="n">
        <v>6</v>
      </c>
      <c r="K425" s="11" t="inlineStr">
        <is>
          <t>تقدير</t>
        </is>
      </c>
      <c r="L425" s="14" t="n">
        <v>1.5</v>
      </c>
      <c r="M425" s="10" t="inlineStr">
        <is>
          <t>متوسط</t>
        </is>
      </c>
      <c r="N425" s="11" t="inlineStr">
        <is>
          <t>طوال السنة</t>
        </is>
      </c>
      <c r="O425" s="11" t="inlineStr">
        <is>
          <t>لا</t>
        </is>
      </c>
      <c r="P425" s="15" t="n">
        <v>0.13</v>
      </c>
      <c r="Q425" s="14" t="n">
        <v>11.5</v>
      </c>
      <c r="R425" s="14" t="n">
        <v>50</v>
      </c>
      <c r="S425" s="16">
        <f>J425*'الافتراضات'!$B$2*(1+'الافتراضات'!$B$3)</f>
        <v/>
      </c>
      <c r="T425" s="16">
        <f>L425*'الافتراضات'!$B$4</f>
        <v/>
      </c>
      <c r="U425" s="16">
        <f>(S425+T425)*'الافتراضات'!$B$5</f>
        <v/>
      </c>
      <c r="V425" s="16">
        <f>S425+T425+U425</f>
        <v/>
      </c>
      <c r="W425" s="16">
        <f>MAX(1,E425*P425)</f>
        <v/>
      </c>
      <c r="X425" s="16">
        <f>E425*'الافتراضات'!$B$7</f>
        <v/>
      </c>
      <c r="Y425" s="16">
        <f>E425*'الافتراضات'!$B$8</f>
        <v/>
      </c>
      <c r="Z425" s="16">
        <f>E425/(1+'الافتراضات'!$B$6)</f>
        <v/>
      </c>
      <c r="AA425" s="16">
        <f>Z425-V425-W425-Q425-X425-Y425</f>
        <v/>
      </c>
      <c r="AB425" s="17">
        <f>IF(Z425=0,0,AA425/Z425)</f>
        <v/>
      </c>
      <c r="AC425" s="17">
        <f>IF(V425=0,0,AA425/V425)</f>
        <v/>
      </c>
      <c r="AD425" s="18">
        <f>R425*V425</f>
        <v/>
      </c>
      <c r="AE425" s="16">
        <f>IF(AB425&gt;='الافتراضات'!$B$9,IF(O425="لا","ابدأ به","جيد – يحتاج شهادة"),IF(AB425&gt;='الافتراضات'!$B$10,"مقبول","ضعيف"))</f>
        <v/>
      </c>
      <c r="AF425" s="16">
        <f>IF((1-'الافتراضات'!$B$9)/(1+'الافتراضات'!$B$6)-P425-'الافتراضات'!$B$7-'الافتراضات'!$B$8&lt;=0,0,(V425+Q425)/((1-'الافتراضات'!$B$9)/(1+'الافتراضات'!$B$6)-P425-'الافتراضات'!$B$7-'الافتراضات'!$B$8))</f>
        <v/>
      </c>
    </row>
    <row r="426">
      <c r="A426" s="10" t="n">
        <v>425</v>
      </c>
      <c r="B426" s="11" t="inlineStr">
        <is>
          <t>التخييم والسفر</t>
        </is>
      </c>
      <c r="C426" s="11" t="inlineStr">
        <is>
          <t>طقم أدوات شواء</t>
        </is>
      </c>
      <c r="D426" s="11" t="inlineStr">
        <is>
          <t>BBQ tool set</t>
        </is>
      </c>
      <c r="E426" s="12" t="n">
        <v>57</v>
      </c>
      <c r="F426" s="10" t="inlineStr">
        <is>
          <t>تقدير</t>
        </is>
      </c>
      <c r="G426" s="10" t="inlineStr">
        <is>
          <t>تقدير</t>
        </is>
      </c>
      <c r="H426" s="10" t="inlineStr">
        <is>
          <t>لم تُفحص</t>
        </is>
      </c>
      <c r="I426" s="10" t="inlineStr">
        <is>
          <t>لم يُفحص</t>
        </is>
      </c>
      <c r="J426" s="13" t="n">
        <v>5</v>
      </c>
      <c r="K426" s="11" t="inlineStr">
        <is>
          <t>تقدير</t>
        </is>
      </c>
      <c r="L426" s="14" t="n">
        <v>1.1</v>
      </c>
      <c r="M426" s="10" t="inlineStr">
        <is>
          <t>متوسط</t>
        </is>
      </c>
      <c r="N426" s="11" t="inlineStr">
        <is>
          <t>الشتاء والكشتات</t>
        </is>
      </c>
      <c r="O426" s="11" t="inlineStr">
        <is>
          <t>ملامس للغذاء (SFDA)</t>
        </is>
      </c>
      <c r="P426" s="15" t="n">
        <v>0.13</v>
      </c>
      <c r="Q426" s="14" t="n">
        <v>11.5</v>
      </c>
      <c r="R426" s="14" t="n">
        <v>50</v>
      </c>
      <c r="S426" s="16">
        <f>J426*'الافتراضات'!$B$2*(1+'الافتراضات'!$B$3)</f>
        <v/>
      </c>
      <c r="T426" s="16">
        <f>L426*'الافتراضات'!$B$4</f>
        <v/>
      </c>
      <c r="U426" s="16">
        <f>(S426+T426)*'الافتراضات'!$B$5</f>
        <v/>
      </c>
      <c r="V426" s="16">
        <f>S426+T426+U426</f>
        <v/>
      </c>
      <c r="W426" s="16">
        <f>MAX(1,E426*P426)</f>
        <v/>
      </c>
      <c r="X426" s="16">
        <f>E426*'الافتراضات'!$B$7</f>
        <v/>
      </c>
      <c r="Y426" s="16">
        <f>E426*'الافتراضات'!$B$8</f>
        <v/>
      </c>
      <c r="Z426" s="16">
        <f>E426/(1+'الافتراضات'!$B$6)</f>
        <v/>
      </c>
      <c r="AA426" s="16">
        <f>Z426-V426-W426-Q426-X426-Y426</f>
        <v/>
      </c>
      <c r="AB426" s="17">
        <f>IF(Z426=0,0,AA426/Z426)</f>
        <v/>
      </c>
      <c r="AC426" s="17">
        <f>IF(V426=0,0,AA426/V426)</f>
        <v/>
      </c>
      <c r="AD426" s="18">
        <f>R426*V426</f>
        <v/>
      </c>
      <c r="AE426" s="16">
        <f>IF(AB426&gt;='الافتراضات'!$B$9,IF(O426="لا","ابدأ به","جيد – يحتاج شهادة"),IF(AB426&gt;='الافتراضات'!$B$10,"مقبول","ضعيف"))</f>
        <v/>
      </c>
      <c r="AF426" s="16">
        <f>IF((1-'الافتراضات'!$B$9)/(1+'الافتراضات'!$B$6)-P426-'الافتراضات'!$B$7-'الافتراضات'!$B$8&lt;=0,0,(V426+Q426)/((1-'الافتراضات'!$B$9)/(1+'الافتراضات'!$B$6)-P426-'الافتراضات'!$B$7-'الافتراضات'!$B$8))</f>
        <v/>
      </c>
    </row>
    <row r="427">
      <c r="A427" s="10" t="n">
        <v>426</v>
      </c>
      <c r="B427" s="11" t="inlineStr">
        <is>
          <t>المنزل والمطبخ</t>
        </is>
      </c>
      <c r="C427" s="11" t="inlineStr">
        <is>
          <t>حامل فرشاة أسنان معقم</t>
        </is>
      </c>
      <c r="D427" s="11" t="inlineStr">
        <is>
          <t>toothbrush holder wall mounted</t>
        </is>
      </c>
      <c r="E427" s="12" t="n">
        <v>34</v>
      </c>
      <c r="F427" s="10" t="inlineStr">
        <is>
          <t>تقدير</t>
        </is>
      </c>
      <c r="G427" s="10" t="inlineStr">
        <is>
          <t>تقدير</t>
        </is>
      </c>
      <c r="H427" s="10" t="inlineStr">
        <is>
          <t>لم تُفحص</t>
        </is>
      </c>
      <c r="I427" s="10" t="inlineStr">
        <is>
          <t>لم يُفحص</t>
        </is>
      </c>
      <c r="J427" s="13" t="n">
        <v>3</v>
      </c>
      <c r="K427" s="11" t="inlineStr">
        <is>
          <t>تقدير</t>
        </is>
      </c>
      <c r="L427" s="14" t="n">
        <v>0.3</v>
      </c>
      <c r="M427" s="10" t="inlineStr">
        <is>
          <t>صغير</t>
        </is>
      </c>
      <c r="N427" s="11" t="inlineStr">
        <is>
          <t>طوال السنة</t>
        </is>
      </c>
      <c r="O427" s="11" t="inlineStr">
        <is>
          <t>لا</t>
        </is>
      </c>
      <c r="P427" s="15" t="n">
        <v>0.14</v>
      </c>
      <c r="Q427" s="14" t="n">
        <v>9.5</v>
      </c>
      <c r="R427" s="14" t="n">
        <v>50</v>
      </c>
      <c r="S427" s="16">
        <f>J427*'الافتراضات'!$B$2*(1+'الافتراضات'!$B$3)</f>
        <v/>
      </c>
      <c r="T427" s="16">
        <f>L427*'الافتراضات'!$B$4</f>
        <v/>
      </c>
      <c r="U427" s="16">
        <f>(S427+T427)*'الافتراضات'!$B$5</f>
        <v/>
      </c>
      <c r="V427" s="16">
        <f>S427+T427+U427</f>
        <v/>
      </c>
      <c r="W427" s="16">
        <f>MAX(1,E427*P427)</f>
        <v/>
      </c>
      <c r="X427" s="16">
        <f>E427*'الافتراضات'!$B$7</f>
        <v/>
      </c>
      <c r="Y427" s="16">
        <f>E427*'الافتراضات'!$B$8</f>
        <v/>
      </c>
      <c r="Z427" s="16">
        <f>E427/(1+'الافتراضات'!$B$6)</f>
        <v/>
      </c>
      <c r="AA427" s="16">
        <f>Z427-V427-W427-Q427-X427-Y427</f>
        <v/>
      </c>
      <c r="AB427" s="17">
        <f>IF(Z427=0,0,AA427/Z427)</f>
        <v/>
      </c>
      <c r="AC427" s="17">
        <f>IF(V427=0,0,AA427/V427)</f>
        <v/>
      </c>
      <c r="AD427" s="18">
        <f>R427*V427</f>
        <v/>
      </c>
      <c r="AE427" s="16">
        <f>IF(AB427&gt;='الافتراضات'!$B$9,IF(O427="لا","ابدأ به","جيد – يحتاج شهادة"),IF(AB427&gt;='الافتراضات'!$B$10,"مقبول","ضعيف"))</f>
        <v/>
      </c>
      <c r="AF427" s="16">
        <f>IF((1-'الافتراضات'!$B$9)/(1+'الافتراضات'!$B$6)-P427-'الافتراضات'!$B$7-'الافتراضات'!$B$8&lt;=0,0,(V427+Q427)/((1-'الافتراضات'!$B$9)/(1+'الافتراضات'!$B$6)-P427-'الافتراضات'!$B$7-'الافتراضات'!$B$8))</f>
        <v/>
      </c>
    </row>
    <row r="428">
      <c r="A428" s="10" t="n">
        <v>427</v>
      </c>
      <c r="B428" s="11" t="inlineStr">
        <is>
          <t>التنظيف والغسيل</t>
        </is>
      </c>
      <c r="C428" s="11" t="inlineStr">
        <is>
          <t>جهاز طارد البعوض USB</t>
        </is>
      </c>
      <c r="D428" s="11" t="inlineStr">
        <is>
          <t>usb mosquito killer lamp</t>
        </is>
      </c>
      <c r="E428" s="12" t="n">
        <v>34</v>
      </c>
      <c r="F428" s="10" t="inlineStr">
        <is>
          <t>تقدير</t>
        </is>
      </c>
      <c r="G428" s="10" t="inlineStr">
        <is>
          <t>تقدير</t>
        </is>
      </c>
      <c r="H428" s="10" t="inlineStr">
        <is>
          <t>لم تُفحص</t>
        </is>
      </c>
      <c r="I428" s="10" t="inlineStr">
        <is>
          <t>لم يُفحص</t>
        </is>
      </c>
      <c r="J428" s="13" t="n">
        <v>3</v>
      </c>
      <c r="K428" s="11" t="inlineStr">
        <is>
          <t>تقدير</t>
        </is>
      </c>
      <c r="L428" s="14" t="n">
        <v>0.3</v>
      </c>
      <c r="M428" s="10" t="inlineStr">
        <is>
          <t>صغير</t>
        </is>
      </c>
      <c r="N428" s="11" t="inlineStr">
        <is>
          <t>الصيف</t>
        </is>
      </c>
      <c r="O428" s="11" t="inlineStr">
        <is>
          <t>SABER</t>
        </is>
      </c>
      <c r="P428" s="15" t="n">
        <v>0.14</v>
      </c>
      <c r="Q428" s="14" t="n">
        <v>9.5</v>
      </c>
      <c r="R428" s="14" t="n">
        <v>50</v>
      </c>
      <c r="S428" s="16">
        <f>J428*'الافتراضات'!$B$2*(1+'الافتراضات'!$B$3)</f>
        <v/>
      </c>
      <c r="T428" s="16">
        <f>L428*'الافتراضات'!$B$4</f>
        <v/>
      </c>
      <c r="U428" s="16">
        <f>(S428+T428)*'الافتراضات'!$B$5</f>
        <v/>
      </c>
      <c r="V428" s="16">
        <f>S428+T428+U428</f>
        <v/>
      </c>
      <c r="W428" s="16">
        <f>MAX(1,E428*P428)</f>
        <v/>
      </c>
      <c r="X428" s="16">
        <f>E428*'الافتراضات'!$B$7</f>
        <v/>
      </c>
      <c r="Y428" s="16">
        <f>E428*'الافتراضات'!$B$8</f>
        <v/>
      </c>
      <c r="Z428" s="16">
        <f>E428/(1+'الافتراضات'!$B$6)</f>
        <v/>
      </c>
      <c r="AA428" s="16">
        <f>Z428-V428-W428-Q428-X428-Y428</f>
        <v/>
      </c>
      <c r="AB428" s="17">
        <f>IF(Z428=0,0,AA428/Z428)</f>
        <v/>
      </c>
      <c r="AC428" s="17">
        <f>IF(V428=0,0,AA428/V428)</f>
        <v/>
      </c>
      <c r="AD428" s="18">
        <f>R428*V428</f>
        <v/>
      </c>
      <c r="AE428" s="16">
        <f>IF(AB428&gt;='الافتراضات'!$B$9,IF(O428="لا","ابدأ به","جيد – يحتاج شهادة"),IF(AB428&gt;='الافتراضات'!$B$10,"مقبول","ضعيف"))</f>
        <v/>
      </c>
      <c r="AF428" s="16">
        <f>IF((1-'الافتراضات'!$B$9)/(1+'الافتراضات'!$B$6)-P428-'الافتراضات'!$B$7-'الافتراضات'!$B$8&lt;=0,0,(V428+Q428)/((1-'الافتراضات'!$B$9)/(1+'الافتراضات'!$B$6)-P428-'الافتراضات'!$B$7-'الافتراضات'!$B$8))</f>
        <v/>
      </c>
    </row>
    <row r="429">
      <c r="A429" s="10" t="n">
        <v>428</v>
      </c>
      <c r="B429" s="11" t="inlineStr">
        <is>
          <t>المنزل والمطبخ</t>
        </is>
      </c>
      <c r="C429" s="11" t="inlineStr">
        <is>
          <t>رفوف جدارية عائمة</t>
        </is>
      </c>
      <c r="D429" s="11" t="inlineStr">
        <is>
          <t>floating wall shelves</t>
        </is>
      </c>
      <c r="E429" s="12" t="n">
        <v>68</v>
      </c>
      <c r="F429" s="10" t="inlineStr">
        <is>
          <t>تقدير</t>
        </is>
      </c>
      <c r="G429" s="10" t="inlineStr">
        <is>
          <t>تقدير</t>
        </is>
      </c>
      <c r="H429" s="10" t="inlineStr">
        <is>
          <t>لم تُفحص</t>
        </is>
      </c>
      <c r="I429" s="10" t="inlineStr">
        <is>
          <t>لم يُفحص</t>
        </is>
      </c>
      <c r="J429" s="13" t="n">
        <v>6</v>
      </c>
      <c r="K429" s="11" t="inlineStr">
        <is>
          <t>تقدير</t>
        </is>
      </c>
      <c r="L429" s="14" t="n">
        <v>1.5</v>
      </c>
      <c r="M429" s="10" t="inlineStr">
        <is>
          <t>متوسط</t>
        </is>
      </c>
      <c r="N429" s="11" t="inlineStr">
        <is>
          <t>طوال السنة</t>
        </is>
      </c>
      <c r="O429" s="11" t="inlineStr">
        <is>
          <t>لا</t>
        </is>
      </c>
      <c r="P429" s="15" t="n">
        <v>0.14</v>
      </c>
      <c r="Q429" s="14" t="n">
        <v>11.5</v>
      </c>
      <c r="R429" s="14" t="n">
        <v>50</v>
      </c>
      <c r="S429" s="16">
        <f>J429*'الافتراضات'!$B$2*(1+'الافتراضات'!$B$3)</f>
        <v/>
      </c>
      <c r="T429" s="16">
        <f>L429*'الافتراضات'!$B$4</f>
        <v/>
      </c>
      <c r="U429" s="16">
        <f>(S429+T429)*'الافتراضات'!$B$5</f>
        <v/>
      </c>
      <c r="V429" s="16">
        <f>S429+T429+U429</f>
        <v/>
      </c>
      <c r="W429" s="16">
        <f>MAX(1,E429*P429)</f>
        <v/>
      </c>
      <c r="X429" s="16">
        <f>E429*'الافتراضات'!$B$7</f>
        <v/>
      </c>
      <c r="Y429" s="16">
        <f>E429*'الافتراضات'!$B$8</f>
        <v/>
      </c>
      <c r="Z429" s="16">
        <f>E429/(1+'الافتراضات'!$B$6)</f>
        <v/>
      </c>
      <c r="AA429" s="16">
        <f>Z429-V429-W429-Q429-X429-Y429</f>
        <v/>
      </c>
      <c r="AB429" s="17">
        <f>IF(Z429=0,0,AA429/Z429)</f>
        <v/>
      </c>
      <c r="AC429" s="17">
        <f>IF(V429=0,0,AA429/V429)</f>
        <v/>
      </c>
      <c r="AD429" s="18">
        <f>R429*V429</f>
        <v/>
      </c>
      <c r="AE429" s="16">
        <f>IF(AB429&gt;='الافتراضات'!$B$9,IF(O429="لا","ابدأ به","جيد – يحتاج شهادة"),IF(AB429&gt;='الافتراضات'!$B$10,"مقبول","ضعيف"))</f>
        <v/>
      </c>
      <c r="AF429" s="16">
        <f>IF((1-'الافتراضات'!$B$9)/(1+'الافتراضات'!$B$6)-P429-'الافتراضات'!$B$7-'الافتراضات'!$B$8&lt;=0,0,(V429+Q429)/((1-'الافتراضات'!$B$9)/(1+'الافتراضات'!$B$6)-P429-'الافتراضات'!$B$7-'الافتراضات'!$B$8))</f>
        <v/>
      </c>
    </row>
    <row r="430">
      <c r="A430" s="10" t="n">
        <v>429</v>
      </c>
      <c r="B430" s="11" t="inlineStr">
        <is>
          <t>الحديقة والخارج</t>
        </is>
      </c>
      <c r="C430" s="11" t="inlineStr">
        <is>
          <t>طقم أدوات حديقة</t>
        </is>
      </c>
      <c r="D430" s="11" t="inlineStr">
        <is>
          <t>garden tools set</t>
        </is>
      </c>
      <c r="E430" s="12" t="n">
        <v>68</v>
      </c>
      <c r="F430" s="10" t="inlineStr">
        <is>
          <t>تقدير</t>
        </is>
      </c>
      <c r="G430" s="10" t="inlineStr">
        <is>
          <t>تقدير</t>
        </is>
      </c>
      <c r="H430" s="10" t="inlineStr">
        <is>
          <t>لم تُفحص</t>
        </is>
      </c>
      <c r="I430" s="10" t="inlineStr">
        <is>
          <t>لم يُفحص</t>
        </is>
      </c>
      <c r="J430" s="13" t="n">
        <v>6</v>
      </c>
      <c r="K430" s="11" t="inlineStr">
        <is>
          <t>تقدير</t>
        </is>
      </c>
      <c r="L430" s="14" t="n">
        <v>1.5</v>
      </c>
      <c r="M430" s="10" t="inlineStr">
        <is>
          <t>متوسط</t>
        </is>
      </c>
      <c r="N430" s="11" t="inlineStr">
        <is>
          <t>الصيف</t>
        </is>
      </c>
      <c r="O430" s="11" t="inlineStr">
        <is>
          <t>لا</t>
        </is>
      </c>
      <c r="P430" s="15" t="n">
        <v>0.14</v>
      </c>
      <c r="Q430" s="14" t="n">
        <v>11.5</v>
      </c>
      <c r="R430" s="14" t="n">
        <v>50</v>
      </c>
      <c r="S430" s="16">
        <f>J430*'الافتراضات'!$B$2*(1+'الافتراضات'!$B$3)</f>
        <v/>
      </c>
      <c r="T430" s="16">
        <f>L430*'الافتراضات'!$B$4</f>
        <v/>
      </c>
      <c r="U430" s="16">
        <f>(S430+T430)*'الافتراضات'!$B$5</f>
        <v/>
      </c>
      <c r="V430" s="16">
        <f>S430+T430+U430</f>
        <v/>
      </c>
      <c r="W430" s="16">
        <f>MAX(1,E430*P430)</f>
        <v/>
      </c>
      <c r="X430" s="16">
        <f>E430*'الافتراضات'!$B$7</f>
        <v/>
      </c>
      <c r="Y430" s="16">
        <f>E430*'الافتراضات'!$B$8</f>
        <v/>
      </c>
      <c r="Z430" s="16">
        <f>E430/(1+'الافتراضات'!$B$6)</f>
        <v/>
      </c>
      <c r="AA430" s="16">
        <f>Z430-V430-W430-Q430-X430-Y430</f>
        <v/>
      </c>
      <c r="AB430" s="17">
        <f>IF(Z430=0,0,AA430/Z430)</f>
        <v/>
      </c>
      <c r="AC430" s="17">
        <f>IF(V430=0,0,AA430/V430)</f>
        <v/>
      </c>
      <c r="AD430" s="18">
        <f>R430*V430</f>
        <v/>
      </c>
      <c r="AE430" s="16">
        <f>IF(AB430&gt;='الافتراضات'!$B$9,IF(O430="لا","ابدأ به","جيد – يحتاج شهادة"),IF(AB430&gt;='الافتراضات'!$B$10,"مقبول","ضعيف"))</f>
        <v/>
      </c>
      <c r="AF430" s="16">
        <f>IF((1-'الافتراضات'!$B$9)/(1+'الافتراضات'!$B$6)-P430-'الافتراضات'!$B$7-'الافتراضات'!$B$8&lt;=0,0,(V430+Q430)/((1-'الافتراضات'!$B$9)/(1+'الافتراضات'!$B$6)-P430-'الافتراضات'!$B$7-'الافتراضات'!$B$8))</f>
        <v/>
      </c>
    </row>
    <row r="431">
      <c r="A431" s="10" t="n">
        <v>430</v>
      </c>
      <c r="B431" s="11" t="inlineStr">
        <is>
          <t>الحديقة والخارج</t>
        </is>
      </c>
      <c r="C431" s="11" t="inlineStr">
        <is>
          <t>خرطوم مياه 15 متر</t>
        </is>
      </c>
      <c r="D431" s="11" t="inlineStr">
        <is>
          <t>garden hose 15m</t>
        </is>
      </c>
      <c r="E431" s="12" t="n">
        <v>68</v>
      </c>
      <c r="F431" s="10" t="inlineStr">
        <is>
          <t>تقدير</t>
        </is>
      </c>
      <c r="G431" s="10" t="inlineStr">
        <is>
          <t>تقدير</t>
        </is>
      </c>
      <c r="H431" s="10" t="inlineStr">
        <is>
          <t>لم تُفحص</t>
        </is>
      </c>
      <c r="I431" s="10" t="inlineStr">
        <is>
          <t>لم يُفحص</t>
        </is>
      </c>
      <c r="J431" s="13" t="n">
        <v>6</v>
      </c>
      <c r="K431" s="11" t="inlineStr">
        <is>
          <t>تقدير</t>
        </is>
      </c>
      <c r="L431" s="14" t="n">
        <v>1.5</v>
      </c>
      <c r="M431" s="10" t="inlineStr">
        <is>
          <t>متوسط</t>
        </is>
      </c>
      <c r="N431" s="11" t="inlineStr">
        <is>
          <t>الصيف</t>
        </is>
      </c>
      <c r="O431" s="11" t="inlineStr">
        <is>
          <t>لا</t>
        </is>
      </c>
      <c r="P431" s="15" t="n">
        <v>0.14</v>
      </c>
      <c r="Q431" s="14" t="n">
        <v>11.5</v>
      </c>
      <c r="R431" s="14" t="n">
        <v>50</v>
      </c>
      <c r="S431" s="16">
        <f>J431*'الافتراضات'!$B$2*(1+'الافتراضات'!$B$3)</f>
        <v/>
      </c>
      <c r="T431" s="16">
        <f>L431*'الافتراضات'!$B$4</f>
        <v/>
      </c>
      <c r="U431" s="16">
        <f>(S431+T431)*'الافتراضات'!$B$5</f>
        <v/>
      </c>
      <c r="V431" s="16">
        <f>S431+T431+U431</f>
        <v/>
      </c>
      <c r="W431" s="16">
        <f>MAX(1,E431*P431)</f>
        <v/>
      </c>
      <c r="X431" s="16">
        <f>E431*'الافتراضات'!$B$7</f>
        <v/>
      </c>
      <c r="Y431" s="16">
        <f>E431*'الافتراضات'!$B$8</f>
        <v/>
      </c>
      <c r="Z431" s="16">
        <f>E431/(1+'الافتراضات'!$B$6)</f>
        <v/>
      </c>
      <c r="AA431" s="16">
        <f>Z431-V431-W431-Q431-X431-Y431</f>
        <v/>
      </c>
      <c r="AB431" s="17">
        <f>IF(Z431=0,0,AA431/Z431)</f>
        <v/>
      </c>
      <c r="AC431" s="17">
        <f>IF(V431=0,0,AA431/V431)</f>
        <v/>
      </c>
      <c r="AD431" s="18">
        <f>R431*V431</f>
        <v/>
      </c>
      <c r="AE431" s="16">
        <f>IF(AB431&gt;='الافتراضات'!$B$9,IF(O431="لا","ابدأ به","جيد – يحتاج شهادة"),IF(AB431&gt;='الافتراضات'!$B$10,"مقبول","ضعيف"))</f>
        <v/>
      </c>
      <c r="AF431" s="16">
        <f>IF((1-'الافتراضات'!$B$9)/(1+'الافتراضات'!$B$6)-P431-'الافتراضات'!$B$7-'الافتراضات'!$B$8&lt;=0,0,(V431+Q431)/((1-'الافتراضات'!$B$9)/(1+'الافتراضات'!$B$6)-P431-'الافتراضات'!$B$7-'الافتراضات'!$B$8))</f>
        <v/>
      </c>
    </row>
    <row r="432">
      <c r="A432" s="10" t="n">
        <v>431</v>
      </c>
      <c r="B432" s="11" t="inlineStr">
        <is>
          <t>رمضان والمناسبات</t>
        </is>
      </c>
      <c r="C432" s="11" t="inlineStr">
        <is>
          <t>طقم أطباق تقديم ضيافة</t>
        </is>
      </c>
      <c r="D432" s="11" t="inlineStr">
        <is>
          <t>serving platter set</t>
        </is>
      </c>
      <c r="E432" s="12" t="n">
        <v>68</v>
      </c>
      <c r="F432" s="10" t="inlineStr">
        <is>
          <t>تقدير</t>
        </is>
      </c>
      <c r="G432" s="10" t="inlineStr">
        <is>
          <t>تقدير</t>
        </is>
      </c>
      <c r="H432" s="10" t="inlineStr">
        <is>
          <t>لم تُفحص</t>
        </is>
      </c>
      <c r="I432" s="10" t="inlineStr">
        <is>
          <t>لم يُفحص</t>
        </is>
      </c>
      <c r="J432" s="13" t="n">
        <v>6</v>
      </c>
      <c r="K432" s="11" t="inlineStr">
        <is>
          <t>تقدير</t>
        </is>
      </c>
      <c r="L432" s="14" t="n">
        <v>1.5</v>
      </c>
      <c r="M432" s="10" t="inlineStr">
        <is>
          <t>متوسط</t>
        </is>
      </c>
      <c r="N432" s="11" t="inlineStr">
        <is>
          <t>رمضان والمناسبات</t>
        </is>
      </c>
      <c r="O432" s="11" t="inlineStr">
        <is>
          <t>ملامس للغذاء (SFDA)</t>
        </is>
      </c>
      <c r="P432" s="15" t="n">
        <v>0.14</v>
      </c>
      <c r="Q432" s="14" t="n">
        <v>11.5</v>
      </c>
      <c r="R432" s="14" t="n">
        <v>50</v>
      </c>
      <c r="S432" s="16">
        <f>J432*'الافتراضات'!$B$2*(1+'الافتراضات'!$B$3)</f>
        <v/>
      </c>
      <c r="T432" s="16">
        <f>L432*'الافتراضات'!$B$4</f>
        <v/>
      </c>
      <c r="U432" s="16">
        <f>(S432+T432)*'الافتراضات'!$B$5</f>
        <v/>
      </c>
      <c r="V432" s="16">
        <f>S432+T432+U432</f>
        <v/>
      </c>
      <c r="W432" s="16">
        <f>MAX(1,E432*P432)</f>
        <v/>
      </c>
      <c r="X432" s="16">
        <f>E432*'الافتراضات'!$B$7</f>
        <v/>
      </c>
      <c r="Y432" s="16">
        <f>E432*'الافتراضات'!$B$8</f>
        <v/>
      </c>
      <c r="Z432" s="16">
        <f>E432/(1+'الافتراضات'!$B$6)</f>
        <v/>
      </c>
      <c r="AA432" s="16">
        <f>Z432-V432-W432-Q432-X432-Y432</f>
        <v/>
      </c>
      <c r="AB432" s="17">
        <f>IF(Z432=0,0,AA432/Z432)</f>
        <v/>
      </c>
      <c r="AC432" s="17">
        <f>IF(V432=0,0,AA432/V432)</f>
        <v/>
      </c>
      <c r="AD432" s="18">
        <f>R432*V432</f>
        <v/>
      </c>
      <c r="AE432" s="16">
        <f>IF(AB432&gt;='الافتراضات'!$B$9,IF(O432="لا","ابدأ به","جيد – يحتاج شهادة"),IF(AB432&gt;='الافتراضات'!$B$10,"مقبول","ضعيف"))</f>
        <v/>
      </c>
      <c r="AF432" s="16">
        <f>IF((1-'الافتراضات'!$B$9)/(1+'الافتراضات'!$B$6)-P432-'الافتراضات'!$B$7-'الافتراضات'!$B$8&lt;=0,0,(V432+Q432)/((1-'الافتراضات'!$B$9)/(1+'الافتراضات'!$B$6)-P432-'الافتراضات'!$B$7-'الافتراضات'!$B$8))</f>
        <v/>
      </c>
    </row>
    <row r="433">
      <c r="A433" s="10" t="n">
        <v>432</v>
      </c>
      <c r="B433" s="11" t="inlineStr">
        <is>
          <t>التخييم والسفر</t>
        </is>
      </c>
      <c r="C433" s="11" t="inlineStr">
        <is>
          <t>وسادة تخييم قابلة للنفخ</t>
        </is>
      </c>
      <c r="D433" s="11" t="inlineStr">
        <is>
          <t>inflatable camping pillow</t>
        </is>
      </c>
      <c r="E433" s="12" t="n">
        <v>25</v>
      </c>
      <c r="F433" s="10" t="inlineStr">
        <is>
          <t>تقدير</t>
        </is>
      </c>
      <c r="G433" s="10" t="inlineStr">
        <is>
          <t>تقدير</t>
        </is>
      </c>
      <c r="H433" s="10" t="inlineStr">
        <is>
          <t>لم تُفحص</t>
        </is>
      </c>
      <c r="I433" s="10" t="inlineStr">
        <is>
          <t>لم يُفحص</t>
        </is>
      </c>
      <c r="J433" s="13" t="n">
        <v>2</v>
      </c>
      <c r="K433" s="11" t="inlineStr">
        <is>
          <t>تقدير</t>
        </is>
      </c>
      <c r="L433" s="14" t="n">
        <v>0.15</v>
      </c>
      <c r="M433" s="10" t="inlineStr">
        <is>
          <t>صغير</t>
        </is>
      </c>
      <c r="N433" s="11" t="inlineStr">
        <is>
          <t>الشتاء والكشتات</t>
        </is>
      </c>
      <c r="O433" s="11" t="inlineStr">
        <is>
          <t>لا</t>
        </is>
      </c>
      <c r="P433" s="15" t="n">
        <v>0.2</v>
      </c>
      <c r="Q433" s="14" t="n">
        <v>7</v>
      </c>
      <c r="R433" s="14" t="n">
        <v>50</v>
      </c>
      <c r="S433" s="16">
        <f>J433*'الافتراضات'!$B$2*(1+'الافتراضات'!$B$3)</f>
        <v/>
      </c>
      <c r="T433" s="16">
        <f>L433*'الافتراضات'!$B$4</f>
        <v/>
      </c>
      <c r="U433" s="16">
        <f>(S433+T433)*'الافتراضات'!$B$5</f>
        <v/>
      </c>
      <c r="V433" s="16">
        <f>S433+T433+U433</f>
        <v/>
      </c>
      <c r="W433" s="16">
        <f>MAX(1,E433*P433)</f>
        <v/>
      </c>
      <c r="X433" s="16">
        <f>E433*'الافتراضات'!$B$7</f>
        <v/>
      </c>
      <c r="Y433" s="16">
        <f>E433*'الافتراضات'!$B$8</f>
        <v/>
      </c>
      <c r="Z433" s="16">
        <f>E433/(1+'الافتراضات'!$B$6)</f>
        <v/>
      </c>
      <c r="AA433" s="16">
        <f>Z433-V433-W433-Q433-X433-Y433</f>
        <v/>
      </c>
      <c r="AB433" s="17">
        <f>IF(Z433=0,0,AA433/Z433)</f>
        <v/>
      </c>
      <c r="AC433" s="17">
        <f>IF(V433=0,0,AA433/V433)</f>
        <v/>
      </c>
      <c r="AD433" s="18">
        <f>R433*V433</f>
        <v/>
      </c>
      <c r="AE433" s="16">
        <f>IF(AB433&gt;='الافتراضات'!$B$9,IF(O433="لا","ابدأ به","جيد – يحتاج شهادة"),IF(AB433&gt;='الافتراضات'!$B$10,"مقبول","ضعيف"))</f>
        <v/>
      </c>
      <c r="AF433" s="16">
        <f>IF((1-'الافتراضات'!$B$9)/(1+'الافتراضات'!$B$6)-P433-'الافتراضات'!$B$7-'الافتراضات'!$B$8&lt;=0,0,(V433+Q433)/((1-'الافتراضات'!$B$9)/(1+'الافتراضات'!$B$6)-P433-'الافتراضات'!$B$7-'الافتراضات'!$B$8))</f>
        <v/>
      </c>
    </row>
    <row r="434">
      <c r="A434" s="10" t="n">
        <v>433</v>
      </c>
      <c r="B434" s="11" t="inlineStr">
        <is>
          <t>المكتب والدراسة</t>
        </is>
      </c>
      <c r="C434" s="11" t="inlineStr">
        <is>
          <t>مبراة كهربائية</t>
        </is>
      </c>
      <c r="D434" s="11" t="inlineStr">
        <is>
          <t>electric pencil sharpener</t>
        </is>
      </c>
      <c r="E434" s="12" t="n">
        <v>34</v>
      </c>
      <c r="F434" s="10" t="inlineStr">
        <is>
          <t>تقدير</t>
        </is>
      </c>
      <c r="G434" s="10" t="inlineStr">
        <is>
          <t>تقدير</t>
        </is>
      </c>
      <c r="H434" s="10" t="inlineStr">
        <is>
          <t>لم تُفحص</t>
        </is>
      </c>
      <c r="I434" s="10" t="inlineStr">
        <is>
          <t>لم يُفحص</t>
        </is>
      </c>
      <c r="J434" s="13" t="n">
        <v>3</v>
      </c>
      <c r="K434" s="11" t="inlineStr">
        <is>
          <t>تقدير</t>
        </is>
      </c>
      <c r="L434" s="14" t="n">
        <v>0.4</v>
      </c>
      <c r="M434" s="10" t="inlineStr">
        <is>
          <t>صغير</t>
        </is>
      </c>
      <c r="N434" s="11" t="inlineStr">
        <is>
          <t>العودة للمدارس</t>
        </is>
      </c>
      <c r="O434" s="11" t="inlineStr">
        <is>
          <t>SABER + بطارية ليثيوم</t>
        </is>
      </c>
      <c r="P434" s="15" t="n">
        <v>0.12</v>
      </c>
      <c r="Q434" s="14" t="n">
        <v>9.5</v>
      </c>
      <c r="R434" s="14" t="n">
        <v>50</v>
      </c>
      <c r="S434" s="16">
        <f>J434*'الافتراضات'!$B$2*(1+'الافتراضات'!$B$3)</f>
        <v/>
      </c>
      <c r="T434" s="16">
        <f>L434*'الافتراضات'!$B$4</f>
        <v/>
      </c>
      <c r="U434" s="16">
        <f>(S434+T434)*'الافتراضات'!$B$5</f>
        <v/>
      </c>
      <c r="V434" s="16">
        <f>S434+T434+U434</f>
        <v/>
      </c>
      <c r="W434" s="16">
        <f>MAX(1,E434*P434)</f>
        <v/>
      </c>
      <c r="X434" s="16">
        <f>E434*'الافتراضات'!$B$7</f>
        <v/>
      </c>
      <c r="Y434" s="16">
        <f>E434*'الافتراضات'!$B$8</f>
        <v/>
      </c>
      <c r="Z434" s="16">
        <f>E434/(1+'الافتراضات'!$B$6)</f>
        <v/>
      </c>
      <c r="AA434" s="16">
        <f>Z434-V434-W434-Q434-X434-Y434</f>
        <v/>
      </c>
      <c r="AB434" s="17">
        <f>IF(Z434=0,0,AA434/Z434)</f>
        <v/>
      </c>
      <c r="AC434" s="17">
        <f>IF(V434=0,0,AA434/V434)</f>
        <v/>
      </c>
      <c r="AD434" s="18">
        <f>R434*V434</f>
        <v/>
      </c>
      <c r="AE434" s="16">
        <f>IF(AB434&gt;='الافتراضات'!$B$9,IF(O434="لا","ابدأ به","جيد – يحتاج شهادة"),IF(AB434&gt;='الافتراضات'!$B$10,"مقبول","ضعيف"))</f>
        <v/>
      </c>
      <c r="AF434" s="16">
        <f>IF((1-'الافتراضات'!$B$9)/(1+'الافتراضات'!$B$6)-P434-'الافتراضات'!$B$7-'الافتراضات'!$B$8&lt;=0,0,(V434+Q434)/((1-'الافتراضات'!$B$9)/(1+'الافتراضات'!$B$6)-P434-'الافتراضات'!$B$7-'الافتراضات'!$B$8))</f>
        <v/>
      </c>
    </row>
    <row r="435">
      <c r="A435" s="10" t="n">
        <v>434</v>
      </c>
      <c r="B435" s="11" t="inlineStr">
        <is>
          <t>المنزل والمطبخ</t>
        </is>
      </c>
      <c r="C435" s="11" t="inlineStr">
        <is>
          <t>موزع صابون أوتوماتيكي</t>
        </is>
      </c>
      <c r="D435" s="11" t="inlineStr">
        <is>
          <t>automatic soap dispenser</t>
        </is>
      </c>
      <c r="E435" s="12" t="n">
        <v>36</v>
      </c>
      <c r="F435" s="10" t="inlineStr">
        <is>
          <t>تقدير</t>
        </is>
      </c>
      <c r="G435" s="10" t="inlineStr">
        <is>
          <t>تقدير</t>
        </is>
      </c>
      <c r="H435" s="10" t="inlineStr">
        <is>
          <t>لم تُفحص</t>
        </is>
      </c>
      <c r="I435" s="10" t="inlineStr">
        <is>
          <t>لم يُفحص</t>
        </is>
      </c>
      <c r="J435" s="13" t="n">
        <v>3.2</v>
      </c>
      <c r="K435" s="11" t="inlineStr">
        <is>
          <t>تقدير</t>
        </is>
      </c>
      <c r="L435" s="14" t="n">
        <v>0.35</v>
      </c>
      <c r="M435" s="10" t="inlineStr">
        <is>
          <t>صغير</t>
        </is>
      </c>
      <c r="N435" s="11" t="inlineStr">
        <is>
          <t>طوال السنة</t>
        </is>
      </c>
      <c r="O435" s="11" t="inlineStr">
        <is>
          <t>SABER + بطارية ليثيوم</t>
        </is>
      </c>
      <c r="P435" s="15" t="n">
        <v>0.15</v>
      </c>
      <c r="Q435" s="14" t="n">
        <v>9.5</v>
      </c>
      <c r="R435" s="14" t="n">
        <v>50</v>
      </c>
      <c r="S435" s="16">
        <f>J435*'الافتراضات'!$B$2*(1+'الافتراضات'!$B$3)</f>
        <v/>
      </c>
      <c r="T435" s="16">
        <f>L435*'الافتراضات'!$B$4</f>
        <v/>
      </c>
      <c r="U435" s="16">
        <f>(S435+T435)*'الافتراضات'!$B$5</f>
        <v/>
      </c>
      <c r="V435" s="16">
        <f>S435+T435+U435</f>
        <v/>
      </c>
      <c r="W435" s="16">
        <f>MAX(1,E435*P435)</f>
        <v/>
      </c>
      <c r="X435" s="16">
        <f>E435*'الافتراضات'!$B$7</f>
        <v/>
      </c>
      <c r="Y435" s="16">
        <f>E435*'الافتراضات'!$B$8</f>
        <v/>
      </c>
      <c r="Z435" s="16">
        <f>E435/(1+'الافتراضات'!$B$6)</f>
        <v/>
      </c>
      <c r="AA435" s="16">
        <f>Z435-V435-W435-Q435-X435-Y435</f>
        <v/>
      </c>
      <c r="AB435" s="17">
        <f>IF(Z435=0,0,AA435/Z435)</f>
        <v/>
      </c>
      <c r="AC435" s="17">
        <f>IF(V435=0,0,AA435/V435)</f>
        <v/>
      </c>
      <c r="AD435" s="18">
        <f>R435*V435</f>
        <v/>
      </c>
      <c r="AE435" s="16">
        <f>IF(AB435&gt;='الافتراضات'!$B$9,IF(O435="لا","ابدأ به","جيد – يحتاج شهادة"),IF(AB435&gt;='الافتراضات'!$B$10,"مقبول","ضعيف"))</f>
        <v/>
      </c>
      <c r="AF435" s="16">
        <f>IF((1-'الافتراضات'!$B$9)/(1+'الافتراضات'!$B$6)-P435-'الافتراضات'!$B$7-'الافتراضات'!$B$8&lt;=0,0,(V435+Q435)/((1-'الافتراضات'!$B$9)/(1+'الافتراضات'!$B$6)-P435-'الافتراضات'!$B$7-'الافتراضات'!$B$8))</f>
        <v/>
      </c>
    </row>
    <row r="436">
      <c r="A436" s="10" t="n">
        <v>435</v>
      </c>
      <c r="B436" s="11" t="inlineStr">
        <is>
          <t>المنزل والمطبخ</t>
        </is>
      </c>
      <c r="C436" s="11" t="inlineStr">
        <is>
          <t>مقلاة غير لاصقة 28 سم</t>
        </is>
      </c>
      <c r="D436" s="11" t="inlineStr">
        <is>
          <t>nonstick frying pan 28cm</t>
        </is>
      </c>
      <c r="E436" s="12" t="n">
        <v>57</v>
      </c>
      <c r="F436" s="10" t="inlineStr">
        <is>
          <t>تقدير</t>
        </is>
      </c>
      <c r="G436" s="10" t="inlineStr">
        <is>
          <t>تقدير</t>
        </is>
      </c>
      <c r="H436" s="10" t="inlineStr">
        <is>
          <t>لم تُفحص</t>
        </is>
      </c>
      <c r="I436" s="10" t="inlineStr">
        <is>
          <t>لم يُفحص</t>
        </is>
      </c>
      <c r="J436" s="13" t="n">
        <v>5</v>
      </c>
      <c r="K436" s="11" t="inlineStr">
        <is>
          <t>تقدير</t>
        </is>
      </c>
      <c r="L436" s="14" t="n">
        <v>1.1</v>
      </c>
      <c r="M436" s="10" t="inlineStr">
        <is>
          <t>متوسط</t>
        </is>
      </c>
      <c r="N436" s="11" t="inlineStr">
        <is>
          <t>طوال السنة</t>
        </is>
      </c>
      <c r="O436" s="11" t="inlineStr">
        <is>
          <t>ملامس للغذاء (SFDA)</t>
        </is>
      </c>
      <c r="P436" s="15" t="n">
        <v>0.14</v>
      </c>
      <c r="Q436" s="14" t="n">
        <v>11.5</v>
      </c>
      <c r="R436" s="14" t="n">
        <v>50</v>
      </c>
      <c r="S436" s="16">
        <f>J436*'الافتراضات'!$B$2*(1+'الافتراضات'!$B$3)</f>
        <v/>
      </c>
      <c r="T436" s="16">
        <f>L436*'الافتراضات'!$B$4</f>
        <v/>
      </c>
      <c r="U436" s="16">
        <f>(S436+T436)*'الافتراضات'!$B$5</f>
        <v/>
      </c>
      <c r="V436" s="16">
        <f>S436+T436+U436</f>
        <v/>
      </c>
      <c r="W436" s="16">
        <f>MAX(1,E436*P436)</f>
        <v/>
      </c>
      <c r="X436" s="16">
        <f>E436*'الافتراضات'!$B$7</f>
        <v/>
      </c>
      <c r="Y436" s="16">
        <f>E436*'الافتراضات'!$B$8</f>
        <v/>
      </c>
      <c r="Z436" s="16">
        <f>E436/(1+'الافتراضات'!$B$6)</f>
        <v/>
      </c>
      <c r="AA436" s="16">
        <f>Z436-V436-W436-Q436-X436-Y436</f>
        <v/>
      </c>
      <c r="AB436" s="17">
        <f>IF(Z436=0,0,AA436/Z436)</f>
        <v/>
      </c>
      <c r="AC436" s="17">
        <f>IF(V436=0,0,AA436/V436)</f>
        <v/>
      </c>
      <c r="AD436" s="18">
        <f>R436*V436</f>
        <v/>
      </c>
      <c r="AE436" s="16">
        <f>IF(AB436&gt;='الافتراضات'!$B$9,IF(O436="لا","ابدأ به","جيد – يحتاج شهادة"),IF(AB436&gt;='الافتراضات'!$B$10,"مقبول","ضعيف"))</f>
        <v/>
      </c>
      <c r="AF436" s="16">
        <f>IF((1-'الافتراضات'!$B$9)/(1+'الافتراضات'!$B$6)-P436-'الافتراضات'!$B$7-'الافتراضات'!$B$8&lt;=0,0,(V436+Q436)/((1-'الافتراضات'!$B$9)/(1+'الافتراضات'!$B$6)-P436-'الافتراضات'!$B$7-'الافتراضات'!$B$8))</f>
        <v/>
      </c>
    </row>
    <row r="437">
      <c r="A437" s="10" t="n">
        <v>436</v>
      </c>
      <c r="B437" s="11" t="inlineStr">
        <is>
          <t>إكسسوارات الجوال والإلكترونيات</t>
        </is>
      </c>
      <c r="C437" s="11" t="inlineStr">
        <is>
          <t>ستاند تلفزيون جداري متحرك</t>
        </is>
      </c>
      <c r="D437" s="11" t="inlineStr">
        <is>
          <t>tv wall mount bracket</t>
        </is>
      </c>
      <c r="E437" s="12" t="n">
        <v>68</v>
      </c>
      <c r="F437" s="10" t="inlineStr">
        <is>
          <t>تقدير</t>
        </is>
      </c>
      <c r="G437" s="10" t="inlineStr">
        <is>
          <t>تقدير</t>
        </is>
      </c>
      <c r="H437" s="10" t="inlineStr">
        <is>
          <t>لم تُفحص</t>
        </is>
      </c>
      <c r="I437" s="10" t="inlineStr">
        <is>
          <t>لم يُفحص</t>
        </is>
      </c>
      <c r="J437" s="13" t="n">
        <v>6</v>
      </c>
      <c r="K437" s="11" t="inlineStr">
        <is>
          <t>تقدير</t>
        </is>
      </c>
      <c r="L437" s="14" t="n">
        <v>1.5</v>
      </c>
      <c r="M437" s="10" t="inlineStr">
        <is>
          <t>متوسط</t>
        </is>
      </c>
      <c r="N437" s="11" t="inlineStr">
        <is>
          <t>طوال السنة</t>
        </is>
      </c>
      <c r="O437" s="11" t="inlineStr">
        <is>
          <t>لا</t>
        </is>
      </c>
      <c r="P437" s="15" t="n">
        <v>0.15</v>
      </c>
      <c r="Q437" s="14" t="n">
        <v>11.5</v>
      </c>
      <c r="R437" s="14" t="n">
        <v>50</v>
      </c>
      <c r="S437" s="16">
        <f>J437*'الافتراضات'!$B$2*(1+'الافتراضات'!$B$3)</f>
        <v/>
      </c>
      <c r="T437" s="16">
        <f>L437*'الافتراضات'!$B$4</f>
        <v/>
      </c>
      <c r="U437" s="16">
        <f>(S437+T437)*'الافتراضات'!$B$5</f>
        <v/>
      </c>
      <c r="V437" s="16">
        <f>S437+T437+U437</f>
        <v/>
      </c>
      <c r="W437" s="16">
        <f>MAX(1,E437*P437)</f>
        <v/>
      </c>
      <c r="X437" s="16">
        <f>E437*'الافتراضات'!$B$7</f>
        <v/>
      </c>
      <c r="Y437" s="16">
        <f>E437*'الافتراضات'!$B$8</f>
        <v/>
      </c>
      <c r="Z437" s="16">
        <f>E437/(1+'الافتراضات'!$B$6)</f>
        <v/>
      </c>
      <c r="AA437" s="16">
        <f>Z437-V437-W437-Q437-X437-Y437</f>
        <v/>
      </c>
      <c r="AB437" s="17">
        <f>IF(Z437=0,0,AA437/Z437)</f>
        <v/>
      </c>
      <c r="AC437" s="17">
        <f>IF(V437=0,0,AA437/V437)</f>
        <v/>
      </c>
      <c r="AD437" s="18">
        <f>R437*V437</f>
        <v/>
      </c>
      <c r="AE437" s="16">
        <f>IF(AB437&gt;='الافتراضات'!$B$9,IF(O437="لا","ابدأ به","جيد – يحتاج شهادة"),IF(AB437&gt;='الافتراضات'!$B$10,"مقبول","ضعيف"))</f>
        <v/>
      </c>
      <c r="AF437" s="16">
        <f>IF((1-'الافتراضات'!$B$9)/(1+'الافتراضات'!$B$6)-P437-'الافتراضات'!$B$7-'الافتراضات'!$B$8&lt;=0,0,(V437+Q437)/((1-'الافتراضات'!$B$9)/(1+'الافتراضات'!$B$6)-P437-'الافتراضات'!$B$7-'الافتراضات'!$B$8))</f>
        <v/>
      </c>
    </row>
    <row r="438">
      <c r="A438" s="10" t="n">
        <v>437</v>
      </c>
      <c r="B438" s="11" t="inlineStr">
        <is>
          <t>الرياضة واللياقة</t>
        </is>
      </c>
      <c r="C438" s="11" t="inlineStr">
        <is>
          <t>مقعد تمارين البطن</t>
        </is>
      </c>
      <c r="D438" s="11" t="inlineStr">
        <is>
          <t>ab bench sit up</t>
        </is>
      </c>
      <c r="E438" s="12" t="n">
        <v>158</v>
      </c>
      <c r="F438" s="10" t="inlineStr">
        <is>
          <t>تقدير</t>
        </is>
      </c>
      <c r="G438" s="10" t="inlineStr">
        <is>
          <t>تقدير</t>
        </is>
      </c>
      <c r="H438" s="10" t="inlineStr">
        <is>
          <t>لم تُفحص</t>
        </is>
      </c>
      <c r="I438" s="10" t="inlineStr">
        <is>
          <t>لم يُفحص</t>
        </is>
      </c>
      <c r="J438" s="13" t="n">
        <v>14</v>
      </c>
      <c r="K438" s="11" t="inlineStr">
        <is>
          <t>تقدير</t>
        </is>
      </c>
      <c r="L438" s="14" t="n">
        <v>5</v>
      </c>
      <c r="M438" s="10" t="inlineStr">
        <is>
          <t>كبير</t>
        </is>
      </c>
      <c r="N438" s="11" t="inlineStr">
        <is>
          <t>طوال السنة</t>
        </is>
      </c>
      <c r="O438" s="11" t="inlineStr">
        <is>
          <t>لا</t>
        </is>
      </c>
      <c r="P438" s="15" t="n">
        <v>0.13</v>
      </c>
      <c r="Q438" s="14" t="n">
        <v>18</v>
      </c>
      <c r="R438" s="14" t="n">
        <v>50</v>
      </c>
      <c r="S438" s="16">
        <f>J438*'الافتراضات'!$B$2*(1+'الافتراضات'!$B$3)</f>
        <v/>
      </c>
      <c r="T438" s="16">
        <f>L438*'الافتراضات'!$B$4</f>
        <v/>
      </c>
      <c r="U438" s="16">
        <f>(S438+T438)*'الافتراضات'!$B$5</f>
        <v/>
      </c>
      <c r="V438" s="16">
        <f>S438+T438+U438</f>
        <v/>
      </c>
      <c r="W438" s="16">
        <f>MAX(1,E438*P438)</f>
        <v/>
      </c>
      <c r="X438" s="16">
        <f>E438*'الافتراضات'!$B$7</f>
        <v/>
      </c>
      <c r="Y438" s="16">
        <f>E438*'الافتراضات'!$B$8</f>
        <v/>
      </c>
      <c r="Z438" s="16">
        <f>E438/(1+'الافتراضات'!$B$6)</f>
        <v/>
      </c>
      <c r="AA438" s="16">
        <f>Z438-V438-W438-Q438-X438-Y438</f>
        <v/>
      </c>
      <c r="AB438" s="17">
        <f>IF(Z438=0,0,AA438/Z438)</f>
        <v/>
      </c>
      <c r="AC438" s="17">
        <f>IF(V438=0,0,AA438/V438)</f>
        <v/>
      </c>
      <c r="AD438" s="18">
        <f>R438*V438</f>
        <v/>
      </c>
      <c r="AE438" s="16">
        <f>IF(AB438&gt;='الافتراضات'!$B$9,IF(O438="لا","ابدأ به","جيد – يحتاج شهادة"),IF(AB438&gt;='الافتراضات'!$B$10,"مقبول","ضعيف"))</f>
        <v/>
      </c>
      <c r="AF438" s="16">
        <f>IF((1-'الافتراضات'!$B$9)/(1+'الافتراضات'!$B$6)-P438-'الافتراضات'!$B$7-'الافتراضات'!$B$8&lt;=0,0,(V438+Q438)/((1-'الافتراضات'!$B$9)/(1+'الافتراضات'!$B$6)-P438-'الافتراضات'!$B$7-'الافتراضات'!$B$8))</f>
        <v/>
      </c>
    </row>
    <row r="439">
      <c r="A439" s="10" t="n">
        <v>438</v>
      </c>
      <c r="B439" s="11" t="inlineStr">
        <is>
          <t>الحقائب والسفر</t>
        </is>
      </c>
      <c r="C439" s="11" t="inlineStr">
        <is>
          <t>وسادة سفر نفخ</t>
        </is>
      </c>
      <c r="D439" s="11" t="inlineStr">
        <is>
          <t>inflatable travel pillow</t>
        </is>
      </c>
      <c r="E439" s="12" t="n">
        <v>25</v>
      </c>
      <c r="F439" s="10" t="inlineStr">
        <is>
          <t>تقدير</t>
        </is>
      </c>
      <c r="G439" s="10" t="inlineStr">
        <is>
          <t>تقدير</t>
        </is>
      </c>
      <c r="H439" s="10" t="inlineStr">
        <is>
          <t>لم تُفحص</t>
        </is>
      </c>
      <c r="I439" s="10" t="inlineStr">
        <is>
          <t>لم يُفحص</t>
        </is>
      </c>
      <c r="J439" s="13" t="n">
        <v>1.8</v>
      </c>
      <c r="K439" s="11" t="inlineStr">
        <is>
          <t>تقدير</t>
        </is>
      </c>
      <c r="L439" s="14" t="n">
        <v>0.15</v>
      </c>
      <c r="M439" s="10" t="inlineStr">
        <is>
          <t>صغير</t>
        </is>
      </c>
      <c r="N439" s="11" t="inlineStr">
        <is>
          <t>طوال السنة</t>
        </is>
      </c>
      <c r="O439" s="11" t="inlineStr">
        <is>
          <t>لا</t>
        </is>
      </c>
      <c r="P439" s="15" t="n">
        <v>0.25</v>
      </c>
      <c r="Q439" s="14" t="n">
        <v>7</v>
      </c>
      <c r="R439" s="14" t="n">
        <v>50</v>
      </c>
      <c r="S439" s="16">
        <f>J439*'الافتراضات'!$B$2*(1+'الافتراضات'!$B$3)</f>
        <v/>
      </c>
      <c r="T439" s="16">
        <f>L439*'الافتراضات'!$B$4</f>
        <v/>
      </c>
      <c r="U439" s="16">
        <f>(S439+T439)*'الافتراضات'!$B$5</f>
        <v/>
      </c>
      <c r="V439" s="16">
        <f>S439+T439+U439</f>
        <v/>
      </c>
      <c r="W439" s="16">
        <f>MAX(1,E439*P439)</f>
        <v/>
      </c>
      <c r="X439" s="16">
        <f>E439*'الافتراضات'!$B$7</f>
        <v/>
      </c>
      <c r="Y439" s="16">
        <f>E439*'الافتراضات'!$B$8</f>
        <v/>
      </c>
      <c r="Z439" s="16">
        <f>E439/(1+'الافتراضات'!$B$6)</f>
        <v/>
      </c>
      <c r="AA439" s="16">
        <f>Z439-V439-W439-Q439-X439-Y439</f>
        <v/>
      </c>
      <c r="AB439" s="17">
        <f>IF(Z439=0,0,AA439/Z439)</f>
        <v/>
      </c>
      <c r="AC439" s="17">
        <f>IF(V439=0,0,AA439/V439)</f>
        <v/>
      </c>
      <c r="AD439" s="18">
        <f>R439*V439</f>
        <v/>
      </c>
      <c r="AE439" s="16">
        <f>IF(AB439&gt;='الافتراضات'!$B$9,IF(O439="لا","ابدأ به","جيد – يحتاج شهادة"),IF(AB439&gt;='الافتراضات'!$B$10,"مقبول","ضعيف"))</f>
        <v/>
      </c>
      <c r="AF439" s="16">
        <f>IF((1-'الافتراضات'!$B$9)/(1+'الافتراضات'!$B$6)-P439-'الافتراضات'!$B$7-'الافتراضات'!$B$8&lt;=0,0,(V439+Q439)/((1-'الافتراضات'!$B$9)/(1+'الافتراضات'!$B$6)-P439-'الافتراضات'!$B$7-'الافتراضات'!$B$8))</f>
        <v/>
      </c>
    </row>
    <row r="440">
      <c r="A440" s="10" t="n">
        <v>439</v>
      </c>
      <c r="B440" s="11" t="inlineStr">
        <is>
          <t>التخييم والسفر</t>
        </is>
      </c>
      <c r="C440" s="11" t="inlineStr">
        <is>
          <t>حقيبة يد للسفر</t>
        </is>
      </c>
      <c r="D440" s="11" t="inlineStr">
        <is>
          <t>travel duffel bag foldable</t>
        </is>
      </c>
      <c r="E440" s="12" t="n">
        <v>57</v>
      </c>
      <c r="F440" s="10" t="inlineStr">
        <is>
          <t>تقدير</t>
        </is>
      </c>
      <c r="G440" s="10" t="inlineStr">
        <is>
          <t>تقدير</t>
        </is>
      </c>
      <c r="H440" s="10" t="inlineStr">
        <is>
          <t>لم تُفحص</t>
        </is>
      </c>
      <c r="I440" s="10" t="inlineStr">
        <is>
          <t>لم يُفحص</t>
        </is>
      </c>
      <c r="J440" s="13" t="n">
        <v>5</v>
      </c>
      <c r="K440" s="11" t="inlineStr">
        <is>
          <t>تقدير</t>
        </is>
      </c>
      <c r="L440" s="14" t="n">
        <v>0.6</v>
      </c>
      <c r="M440" s="10" t="inlineStr">
        <is>
          <t>متوسط</t>
        </is>
      </c>
      <c r="N440" s="11" t="inlineStr">
        <is>
          <t>طوال السنة</t>
        </is>
      </c>
      <c r="O440" s="11" t="inlineStr">
        <is>
          <t>لا</t>
        </is>
      </c>
      <c r="P440" s="15" t="n">
        <v>0.25</v>
      </c>
      <c r="Q440" s="14" t="n">
        <v>10</v>
      </c>
      <c r="R440" s="14" t="n">
        <v>50</v>
      </c>
      <c r="S440" s="16">
        <f>J440*'الافتراضات'!$B$2*(1+'الافتراضات'!$B$3)</f>
        <v/>
      </c>
      <c r="T440" s="16">
        <f>L440*'الافتراضات'!$B$4</f>
        <v/>
      </c>
      <c r="U440" s="16">
        <f>(S440+T440)*'الافتراضات'!$B$5</f>
        <v/>
      </c>
      <c r="V440" s="16">
        <f>S440+T440+U440</f>
        <v/>
      </c>
      <c r="W440" s="16">
        <f>MAX(1,E440*P440)</f>
        <v/>
      </c>
      <c r="X440" s="16">
        <f>E440*'الافتراضات'!$B$7</f>
        <v/>
      </c>
      <c r="Y440" s="16">
        <f>E440*'الافتراضات'!$B$8</f>
        <v/>
      </c>
      <c r="Z440" s="16">
        <f>E440/(1+'الافتراضات'!$B$6)</f>
        <v/>
      </c>
      <c r="AA440" s="16">
        <f>Z440-V440-W440-Q440-X440-Y440</f>
        <v/>
      </c>
      <c r="AB440" s="17">
        <f>IF(Z440=0,0,AA440/Z440)</f>
        <v/>
      </c>
      <c r="AC440" s="17">
        <f>IF(V440=0,0,AA440/V440)</f>
        <v/>
      </c>
      <c r="AD440" s="18">
        <f>R440*V440</f>
        <v/>
      </c>
      <c r="AE440" s="16">
        <f>IF(AB440&gt;='الافتراضات'!$B$9,IF(O440="لا","ابدأ به","جيد – يحتاج شهادة"),IF(AB440&gt;='الافتراضات'!$B$10,"مقبول","ضعيف"))</f>
        <v/>
      </c>
      <c r="AF440" s="16">
        <f>IF((1-'الافتراضات'!$B$9)/(1+'الافتراضات'!$B$6)-P440-'الافتراضات'!$B$7-'الافتراضات'!$B$8&lt;=0,0,(V440+Q440)/((1-'الافتراضات'!$B$9)/(1+'الافتراضات'!$B$6)-P440-'الافتراضات'!$B$7-'الافتراضات'!$B$8))</f>
        <v/>
      </c>
    </row>
    <row r="441">
      <c r="A441" s="10" t="n">
        <v>440</v>
      </c>
      <c r="B441" s="11" t="inlineStr">
        <is>
          <t>الحديقة والخارج</t>
        </is>
      </c>
      <c r="C441" s="11" t="inlineStr">
        <is>
          <t>مقص تقليم الأشجار</t>
        </is>
      </c>
      <c r="D441" s="11" t="inlineStr">
        <is>
          <t>pruning shears</t>
        </is>
      </c>
      <c r="E441" s="12" t="n">
        <v>34</v>
      </c>
      <c r="F441" s="10" t="inlineStr">
        <is>
          <t>تقدير</t>
        </is>
      </c>
      <c r="G441" s="10" t="inlineStr">
        <is>
          <t>تقدير</t>
        </is>
      </c>
      <c r="H441" s="10" t="inlineStr">
        <is>
          <t>لم تُفحص</t>
        </is>
      </c>
      <c r="I441" s="10" t="inlineStr">
        <is>
          <t>لم يُفحص</t>
        </is>
      </c>
      <c r="J441" s="13" t="n">
        <v>3</v>
      </c>
      <c r="K441" s="11" t="inlineStr">
        <is>
          <t>تقدير</t>
        </is>
      </c>
      <c r="L441" s="14" t="n">
        <v>0.4</v>
      </c>
      <c r="M441" s="10" t="inlineStr">
        <is>
          <t>صغير</t>
        </is>
      </c>
      <c r="N441" s="11" t="inlineStr">
        <is>
          <t>الصيف</t>
        </is>
      </c>
      <c r="O441" s="11" t="inlineStr">
        <is>
          <t>لا</t>
        </is>
      </c>
      <c r="P441" s="15" t="n">
        <v>0.14</v>
      </c>
      <c r="Q441" s="14" t="n">
        <v>9.5</v>
      </c>
      <c r="R441" s="14" t="n">
        <v>50</v>
      </c>
      <c r="S441" s="16">
        <f>J441*'الافتراضات'!$B$2*(1+'الافتراضات'!$B$3)</f>
        <v/>
      </c>
      <c r="T441" s="16">
        <f>L441*'الافتراضات'!$B$4</f>
        <v/>
      </c>
      <c r="U441" s="16">
        <f>(S441+T441)*'الافتراضات'!$B$5</f>
        <v/>
      </c>
      <c r="V441" s="16">
        <f>S441+T441+U441</f>
        <v/>
      </c>
      <c r="W441" s="16">
        <f>MAX(1,E441*P441)</f>
        <v/>
      </c>
      <c r="X441" s="16">
        <f>E441*'الافتراضات'!$B$7</f>
        <v/>
      </c>
      <c r="Y441" s="16">
        <f>E441*'الافتراضات'!$B$8</f>
        <v/>
      </c>
      <c r="Z441" s="16">
        <f>E441/(1+'الافتراضات'!$B$6)</f>
        <v/>
      </c>
      <c r="AA441" s="16">
        <f>Z441-V441-W441-Q441-X441-Y441</f>
        <v/>
      </c>
      <c r="AB441" s="17">
        <f>IF(Z441=0,0,AA441/Z441)</f>
        <v/>
      </c>
      <c r="AC441" s="17">
        <f>IF(V441=0,0,AA441/V441)</f>
        <v/>
      </c>
      <c r="AD441" s="18">
        <f>R441*V441</f>
        <v/>
      </c>
      <c r="AE441" s="16">
        <f>IF(AB441&gt;='الافتراضات'!$B$9,IF(O441="لا","ابدأ به","جيد – يحتاج شهادة"),IF(AB441&gt;='الافتراضات'!$B$10,"مقبول","ضعيف"))</f>
        <v/>
      </c>
      <c r="AF441" s="16">
        <f>IF((1-'الافتراضات'!$B$9)/(1+'الافتراضات'!$B$6)-P441-'الافتراضات'!$B$7-'الافتراضات'!$B$8&lt;=0,0,(V441+Q441)/((1-'الافتراضات'!$B$9)/(1+'الافتراضات'!$B$6)-P441-'الافتراضات'!$B$7-'الافتراضات'!$B$8))</f>
        <v/>
      </c>
    </row>
    <row r="442">
      <c r="A442" s="10" t="n">
        <v>441</v>
      </c>
      <c r="B442" s="11" t="inlineStr">
        <is>
          <t>الحقائب والسفر</t>
        </is>
      </c>
      <c r="C442" s="11" t="inlineStr">
        <is>
          <t>حقيبة ظهر أطفال كرتون</t>
        </is>
      </c>
      <c r="D442" s="11" t="inlineStr">
        <is>
          <t>kids cartoon backpack</t>
        </is>
      </c>
      <c r="E442" s="12" t="n">
        <v>51</v>
      </c>
      <c r="F442" s="10" t="inlineStr">
        <is>
          <t>تقدير</t>
        </is>
      </c>
      <c r="G442" s="10" t="inlineStr">
        <is>
          <t>تقدير</t>
        </is>
      </c>
      <c r="H442" s="10" t="inlineStr">
        <is>
          <t>لم تُفحص</t>
        </is>
      </c>
      <c r="I442" s="10" t="inlineStr">
        <is>
          <t>لم يُفحص</t>
        </is>
      </c>
      <c r="J442" s="13" t="n">
        <v>4.5</v>
      </c>
      <c r="K442" s="11" t="inlineStr">
        <is>
          <t>تقدير</t>
        </is>
      </c>
      <c r="L442" s="14" t="n">
        <v>0.5</v>
      </c>
      <c r="M442" s="10" t="inlineStr">
        <is>
          <t>متوسط</t>
        </is>
      </c>
      <c r="N442" s="11" t="inlineStr">
        <is>
          <t>العودة للمدارس</t>
        </is>
      </c>
      <c r="O442" s="11" t="inlineStr">
        <is>
          <t>لا</t>
        </is>
      </c>
      <c r="P442" s="15" t="n">
        <v>0.25</v>
      </c>
      <c r="Q442" s="14" t="n">
        <v>9.5</v>
      </c>
      <c r="R442" s="14" t="n">
        <v>50</v>
      </c>
      <c r="S442" s="16">
        <f>J442*'الافتراضات'!$B$2*(1+'الافتراضات'!$B$3)</f>
        <v/>
      </c>
      <c r="T442" s="16">
        <f>L442*'الافتراضات'!$B$4</f>
        <v/>
      </c>
      <c r="U442" s="16">
        <f>(S442+T442)*'الافتراضات'!$B$5</f>
        <v/>
      </c>
      <c r="V442" s="16">
        <f>S442+T442+U442</f>
        <v/>
      </c>
      <c r="W442" s="16">
        <f>MAX(1,E442*P442)</f>
        <v/>
      </c>
      <c r="X442" s="16">
        <f>E442*'الافتراضات'!$B$7</f>
        <v/>
      </c>
      <c r="Y442" s="16">
        <f>E442*'الافتراضات'!$B$8</f>
        <v/>
      </c>
      <c r="Z442" s="16">
        <f>E442/(1+'الافتراضات'!$B$6)</f>
        <v/>
      </c>
      <c r="AA442" s="16">
        <f>Z442-V442-W442-Q442-X442-Y442</f>
        <v/>
      </c>
      <c r="AB442" s="17">
        <f>IF(Z442=0,0,AA442/Z442)</f>
        <v/>
      </c>
      <c r="AC442" s="17">
        <f>IF(V442=0,0,AA442/V442)</f>
        <v/>
      </c>
      <c r="AD442" s="18">
        <f>R442*V442</f>
        <v/>
      </c>
      <c r="AE442" s="16">
        <f>IF(AB442&gt;='الافتراضات'!$B$9,IF(O442="لا","ابدأ به","جيد – يحتاج شهادة"),IF(AB442&gt;='الافتراضات'!$B$10,"مقبول","ضعيف"))</f>
        <v/>
      </c>
      <c r="AF442" s="16">
        <f>IF((1-'الافتراضات'!$B$9)/(1+'الافتراضات'!$B$6)-P442-'الافتراضات'!$B$7-'الافتراضات'!$B$8&lt;=0,0,(V442+Q442)/((1-'الافتراضات'!$B$9)/(1+'الافتراضات'!$B$6)-P442-'الافتراضات'!$B$7-'الافتراضات'!$B$8))</f>
        <v/>
      </c>
    </row>
    <row r="443">
      <c r="A443" s="10" t="n">
        <v>442</v>
      </c>
      <c r="B443" s="11" t="inlineStr">
        <is>
          <t>الحيوانات الأليفة</t>
        </is>
      </c>
      <c r="C443" s="11" t="inlineStr">
        <is>
          <t>شجرة قطط خدش</t>
        </is>
      </c>
      <c r="D443" s="11" t="inlineStr">
        <is>
          <t>cat scratching post tree</t>
        </is>
      </c>
      <c r="E443" s="12" t="n">
        <v>136</v>
      </c>
      <c r="F443" s="10" t="inlineStr">
        <is>
          <t>تقدير</t>
        </is>
      </c>
      <c r="G443" s="10" t="inlineStr">
        <is>
          <t>تقدير</t>
        </is>
      </c>
      <c r="H443" s="10" t="inlineStr">
        <is>
          <t>لم تُفحص</t>
        </is>
      </c>
      <c r="I443" s="10" t="inlineStr">
        <is>
          <t>لم يُفحص</t>
        </is>
      </c>
      <c r="J443" s="13" t="n">
        <v>12</v>
      </c>
      <c r="K443" s="11" t="inlineStr">
        <is>
          <t>تقدير</t>
        </is>
      </c>
      <c r="L443" s="14" t="n">
        <v>4</v>
      </c>
      <c r="M443" s="10" t="inlineStr">
        <is>
          <t>كبير</t>
        </is>
      </c>
      <c r="N443" s="11" t="inlineStr">
        <is>
          <t>طوال السنة</t>
        </is>
      </c>
      <c r="O443" s="11" t="inlineStr">
        <is>
          <t>لا</t>
        </is>
      </c>
      <c r="P443" s="15" t="n">
        <v>0.15</v>
      </c>
      <c r="Q443" s="14" t="n">
        <v>17</v>
      </c>
      <c r="R443" s="14" t="n">
        <v>50</v>
      </c>
      <c r="S443" s="16">
        <f>J443*'الافتراضات'!$B$2*(1+'الافتراضات'!$B$3)</f>
        <v/>
      </c>
      <c r="T443" s="16">
        <f>L443*'الافتراضات'!$B$4</f>
        <v/>
      </c>
      <c r="U443" s="16">
        <f>(S443+T443)*'الافتراضات'!$B$5</f>
        <v/>
      </c>
      <c r="V443" s="16">
        <f>S443+T443+U443</f>
        <v/>
      </c>
      <c r="W443" s="16">
        <f>MAX(1,E443*P443)</f>
        <v/>
      </c>
      <c r="X443" s="16">
        <f>E443*'الافتراضات'!$B$7</f>
        <v/>
      </c>
      <c r="Y443" s="16">
        <f>E443*'الافتراضات'!$B$8</f>
        <v/>
      </c>
      <c r="Z443" s="16">
        <f>E443/(1+'الافتراضات'!$B$6)</f>
        <v/>
      </c>
      <c r="AA443" s="16">
        <f>Z443-V443-W443-Q443-X443-Y443</f>
        <v/>
      </c>
      <c r="AB443" s="17">
        <f>IF(Z443=0,0,AA443/Z443)</f>
        <v/>
      </c>
      <c r="AC443" s="17">
        <f>IF(V443=0,0,AA443/V443)</f>
        <v/>
      </c>
      <c r="AD443" s="18">
        <f>R443*V443</f>
        <v/>
      </c>
      <c r="AE443" s="16">
        <f>IF(AB443&gt;='الافتراضات'!$B$9,IF(O443="لا","ابدأ به","جيد – يحتاج شهادة"),IF(AB443&gt;='الافتراضات'!$B$10,"مقبول","ضعيف"))</f>
        <v/>
      </c>
      <c r="AF443" s="16">
        <f>IF((1-'الافتراضات'!$B$9)/(1+'الافتراضات'!$B$6)-P443-'الافتراضات'!$B$7-'الافتراضات'!$B$8&lt;=0,0,(V443+Q443)/((1-'الافتراضات'!$B$9)/(1+'الافتراضات'!$B$6)-P443-'الافتراضات'!$B$7-'الافتراضات'!$B$8))</f>
        <v/>
      </c>
    </row>
    <row r="444">
      <c r="A444" s="10" t="n">
        <v>443</v>
      </c>
      <c r="B444" s="11" t="inlineStr">
        <is>
          <t>التنظيف والغسيل</t>
        </is>
      </c>
      <c r="C444" s="11" t="inlineStr">
        <is>
          <t>طارد فئران بالموجات</t>
        </is>
      </c>
      <c r="D444" s="11" t="inlineStr">
        <is>
          <t>ultrasonic pest repeller</t>
        </is>
      </c>
      <c r="E444" s="12" t="n">
        <v>27</v>
      </c>
      <c r="F444" s="10" t="inlineStr">
        <is>
          <t>تقدير</t>
        </is>
      </c>
      <c r="G444" s="10" t="inlineStr">
        <is>
          <t>تقدير</t>
        </is>
      </c>
      <c r="H444" s="10" t="inlineStr">
        <is>
          <t>لم تُفحص</t>
        </is>
      </c>
      <c r="I444" s="10" t="inlineStr">
        <is>
          <t>لم يُفحص</t>
        </is>
      </c>
      <c r="J444" s="13" t="n">
        <v>2.4</v>
      </c>
      <c r="K444" s="11" t="inlineStr">
        <is>
          <t>تقدير</t>
        </is>
      </c>
      <c r="L444" s="14" t="n">
        <v>0.15</v>
      </c>
      <c r="M444" s="10" t="inlineStr">
        <is>
          <t>صغير</t>
        </is>
      </c>
      <c r="N444" s="11" t="inlineStr">
        <is>
          <t>طوال السنة</t>
        </is>
      </c>
      <c r="O444" s="11" t="inlineStr">
        <is>
          <t>SABER</t>
        </is>
      </c>
      <c r="P444" s="15" t="n">
        <v>0.14</v>
      </c>
      <c r="Q444" s="14" t="n">
        <v>9</v>
      </c>
      <c r="R444" s="14" t="n">
        <v>50</v>
      </c>
      <c r="S444" s="16">
        <f>J444*'الافتراضات'!$B$2*(1+'الافتراضات'!$B$3)</f>
        <v/>
      </c>
      <c r="T444" s="16">
        <f>L444*'الافتراضات'!$B$4</f>
        <v/>
      </c>
      <c r="U444" s="16">
        <f>(S444+T444)*'الافتراضات'!$B$5</f>
        <v/>
      </c>
      <c r="V444" s="16">
        <f>S444+T444+U444</f>
        <v/>
      </c>
      <c r="W444" s="16">
        <f>MAX(1,E444*P444)</f>
        <v/>
      </c>
      <c r="X444" s="16">
        <f>E444*'الافتراضات'!$B$7</f>
        <v/>
      </c>
      <c r="Y444" s="16">
        <f>E444*'الافتراضات'!$B$8</f>
        <v/>
      </c>
      <c r="Z444" s="16">
        <f>E444/(1+'الافتراضات'!$B$6)</f>
        <v/>
      </c>
      <c r="AA444" s="16">
        <f>Z444-V444-W444-Q444-X444-Y444</f>
        <v/>
      </c>
      <c r="AB444" s="17">
        <f>IF(Z444=0,0,AA444/Z444)</f>
        <v/>
      </c>
      <c r="AC444" s="17">
        <f>IF(V444=0,0,AA444/V444)</f>
        <v/>
      </c>
      <c r="AD444" s="18">
        <f>R444*V444</f>
        <v/>
      </c>
      <c r="AE444" s="16">
        <f>IF(AB444&gt;='الافتراضات'!$B$9,IF(O444="لا","ابدأ به","جيد – يحتاج شهادة"),IF(AB444&gt;='الافتراضات'!$B$10,"مقبول","ضعيف"))</f>
        <v/>
      </c>
      <c r="AF444" s="16">
        <f>IF((1-'الافتراضات'!$B$9)/(1+'الافتراضات'!$B$6)-P444-'الافتراضات'!$B$7-'الافتراضات'!$B$8&lt;=0,0,(V444+Q444)/((1-'الافتراضات'!$B$9)/(1+'الافتراضات'!$B$6)-P444-'الافتراضات'!$B$7-'الافتراضات'!$B$8))</f>
        <v/>
      </c>
    </row>
    <row r="445">
      <c r="A445" s="10" t="n">
        <v>444</v>
      </c>
      <c r="B445" s="11" t="inlineStr">
        <is>
          <t>الحيوانات الأليفة</t>
        </is>
      </c>
      <c r="C445" s="11" t="inlineStr">
        <is>
          <t>ألعاب قطط تفاعلية</t>
        </is>
      </c>
      <c r="D445" s="11" t="inlineStr">
        <is>
          <t>interactive cat toys</t>
        </is>
      </c>
      <c r="E445" s="12" t="n">
        <v>28</v>
      </c>
      <c r="F445" s="10" t="inlineStr">
        <is>
          <t>تقدير</t>
        </is>
      </c>
      <c r="G445" s="10" t="inlineStr">
        <is>
          <t>تقدير</t>
        </is>
      </c>
      <c r="H445" s="10" t="inlineStr">
        <is>
          <t>لم تُفحص</t>
        </is>
      </c>
      <c r="I445" s="10" t="inlineStr">
        <is>
          <t>لم يُفحص</t>
        </is>
      </c>
      <c r="J445" s="13" t="n">
        <v>2.5</v>
      </c>
      <c r="K445" s="11" t="inlineStr">
        <is>
          <t>تقدير</t>
        </is>
      </c>
      <c r="L445" s="14" t="n">
        <v>0.2</v>
      </c>
      <c r="M445" s="10" t="inlineStr">
        <is>
          <t>صغير</t>
        </is>
      </c>
      <c r="N445" s="11" t="inlineStr">
        <is>
          <t>طوال السنة</t>
        </is>
      </c>
      <c r="O445" s="11" t="inlineStr">
        <is>
          <t>لا</t>
        </is>
      </c>
      <c r="P445" s="15" t="n">
        <v>0.14</v>
      </c>
      <c r="Q445" s="14" t="n">
        <v>9</v>
      </c>
      <c r="R445" s="14" t="n">
        <v>50</v>
      </c>
      <c r="S445" s="16">
        <f>J445*'الافتراضات'!$B$2*(1+'الافتراضات'!$B$3)</f>
        <v/>
      </c>
      <c r="T445" s="16">
        <f>L445*'الافتراضات'!$B$4</f>
        <v/>
      </c>
      <c r="U445" s="16">
        <f>(S445+T445)*'الافتراضات'!$B$5</f>
        <v/>
      </c>
      <c r="V445" s="16">
        <f>S445+T445+U445</f>
        <v/>
      </c>
      <c r="W445" s="16">
        <f>MAX(1,E445*P445)</f>
        <v/>
      </c>
      <c r="X445" s="16">
        <f>E445*'الافتراضات'!$B$7</f>
        <v/>
      </c>
      <c r="Y445" s="16">
        <f>E445*'الافتراضات'!$B$8</f>
        <v/>
      </c>
      <c r="Z445" s="16">
        <f>E445/(1+'الافتراضات'!$B$6)</f>
        <v/>
      </c>
      <c r="AA445" s="16">
        <f>Z445-V445-W445-Q445-X445-Y445</f>
        <v/>
      </c>
      <c r="AB445" s="17">
        <f>IF(Z445=0,0,AA445/Z445)</f>
        <v/>
      </c>
      <c r="AC445" s="17">
        <f>IF(V445=0,0,AA445/V445)</f>
        <v/>
      </c>
      <c r="AD445" s="18">
        <f>R445*V445</f>
        <v/>
      </c>
      <c r="AE445" s="16">
        <f>IF(AB445&gt;='الافتراضات'!$B$9,IF(O445="لا","ابدأ به","جيد – يحتاج شهادة"),IF(AB445&gt;='الافتراضات'!$B$10,"مقبول","ضعيف"))</f>
        <v/>
      </c>
      <c r="AF445" s="16">
        <f>IF((1-'الافتراضات'!$B$9)/(1+'الافتراضات'!$B$6)-P445-'الافتراضات'!$B$7-'الافتراضات'!$B$8&lt;=0,0,(V445+Q445)/((1-'الافتراضات'!$B$9)/(1+'الافتراضات'!$B$6)-P445-'الافتراضات'!$B$7-'الافتراضات'!$B$8))</f>
        <v/>
      </c>
    </row>
    <row r="446">
      <c r="A446" s="10" t="n">
        <v>445</v>
      </c>
      <c r="B446" s="11" t="inlineStr">
        <is>
          <t>المنزل والمطبخ</t>
        </is>
      </c>
      <c r="C446" s="11" t="inlineStr">
        <is>
          <t>طقم أطباق سيراميك 18 قطعة</t>
        </is>
      </c>
      <c r="D446" s="11" t="inlineStr">
        <is>
          <t>ceramic dinner set 18 pcs</t>
        </is>
      </c>
      <c r="E446" s="12" t="n">
        <v>204</v>
      </c>
      <c r="F446" s="10" t="inlineStr">
        <is>
          <t>تقدير</t>
        </is>
      </c>
      <c r="G446" s="10" t="inlineStr">
        <is>
          <t>تقدير</t>
        </is>
      </c>
      <c r="H446" s="10" t="inlineStr">
        <is>
          <t>لم تُفحص</t>
        </is>
      </c>
      <c r="I446" s="10" t="inlineStr">
        <is>
          <t>لم يُفحص</t>
        </is>
      </c>
      <c r="J446" s="13" t="n">
        <v>18</v>
      </c>
      <c r="K446" s="11" t="inlineStr">
        <is>
          <t>تقدير</t>
        </is>
      </c>
      <c r="L446" s="14" t="n">
        <v>7</v>
      </c>
      <c r="M446" s="10" t="inlineStr">
        <is>
          <t>كبير</t>
        </is>
      </c>
      <c r="N446" s="11" t="inlineStr">
        <is>
          <t>طوال السنة</t>
        </is>
      </c>
      <c r="O446" s="11" t="inlineStr">
        <is>
          <t>ملامس للغذاء (SFDA)</t>
        </is>
      </c>
      <c r="P446" s="15" t="n">
        <v>0.14</v>
      </c>
      <c r="Q446" s="14" t="n">
        <v>20</v>
      </c>
      <c r="R446" s="14" t="n">
        <v>50</v>
      </c>
      <c r="S446" s="16">
        <f>J446*'الافتراضات'!$B$2*(1+'الافتراضات'!$B$3)</f>
        <v/>
      </c>
      <c r="T446" s="16">
        <f>L446*'الافتراضات'!$B$4</f>
        <v/>
      </c>
      <c r="U446" s="16">
        <f>(S446+T446)*'الافتراضات'!$B$5</f>
        <v/>
      </c>
      <c r="V446" s="16">
        <f>S446+T446+U446</f>
        <v/>
      </c>
      <c r="W446" s="16">
        <f>MAX(1,E446*P446)</f>
        <v/>
      </c>
      <c r="X446" s="16">
        <f>E446*'الافتراضات'!$B$7</f>
        <v/>
      </c>
      <c r="Y446" s="16">
        <f>E446*'الافتراضات'!$B$8</f>
        <v/>
      </c>
      <c r="Z446" s="16">
        <f>E446/(1+'الافتراضات'!$B$6)</f>
        <v/>
      </c>
      <c r="AA446" s="16">
        <f>Z446-V446-W446-Q446-X446-Y446</f>
        <v/>
      </c>
      <c r="AB446" s="17">
        <f>IF(Z446=0,0,AA446/Z446)</f>
        <v/>
      </c>
      <c r="AC446" s="17">
        <f>IF(V446=0,0,AA446/V446)</f>
        <v/>
      </c>
      <c r="AD446" s="18">
        <f>R446*V446</f>
        <v/>
      </c>
      <c r="AE446" s="16">
        <f>IF(AB446&gt;='الافتراضات'!$B$9,IF(O446="لا","ابدأ به","جيد – يحتاج شهادة"),IF(AB446&gt;='الافتراضات'!$B$10,"مقبول","ضعيف"))</f>
        <v/>
      </c>
      <c r="AF446" s="16">
        <f>IF((1-'الافتراضات'!$B$9)/(1+'الافتراضات'!$B$6)-P446-'الافتراضات'!$B$7-'الافتراضات'!$B$8&lt;=0,0,(V446+Q446)/((1-'الافتراضات'!$B$9)/(1+'الافتراضات'!$B$6)-P446-'الافتراضات'!$B$7-'الافتراضات'!$B$8))</f>
        <v/>
      </c>
    </row>
    <row r="447">
      <c r="A447" s="10" t="n">
        <v>446</v>
      </c>
      <c r="B447" s="11" t="inlineStr">
        <is>
          <t>الحقائب والسفر</t>
        </is>
      </c>
      <c r="C447" s="11" t="inlineStr">
        <is>
          <t>حقيبة رياضية للتخييم</t>
        </is>
      </c>
      <c r="D447" s="11" t="inlineStr">
        <is>
          <t>sports duffel bag large</t>
        </is>
      </c>
      <c r="E447" s="12" t="n">
        <v>57</v>
      </c>
      <c r="F447" s="10" t="inlineStr">
        <is>
          <t>تقدير</t>
        </is>
      </c>
      <c r="G447" s="10" t="inlineStr">
        <is>
          <t>تقدير</t>
        </is>
      </c>
      <c r="H447" s="10" t="inlineStr">
        <is>
          <t>لم تُفحص</t>
        </is>
      </c>
      <c r="I447" s="10" t="inlineStr">
        <is>
          <t>لم يُفحص</t>
        </is>
      </c>
      <c r="J447" s="13" t="n">
        <v>5</v>
      </c>
      <c r="K447" s="11" t="inlineStr">
        <is>
          <t>تقدير</t>
        </is>
      </c>
      <c r="L447" s="14" t="n">
        <v>0.7</v>
      </c>
      <c r="M447" s="10" t="inlineStr">
        <is>
          <t>متوسط</t>
        </is>
      </c>
      <c r="N447" s="11" t="inlineStr">
        <is>
          <t>طوال السنة</t>
        </is>
      </c>
      <c r="O447" s="11" t="inlineStr">
        <is>
          <t>لا</t>
        </is>
      </c>
      <c r="P447" s="15" t="n">
        <v>0.25</v>
      </c>
      <c r="Q447" s="14" t="n">
        <v>10</v>
      </c>
      <c r="R447" s="14" t="n">
        <v>50</v>
      </c>
      <c r="S447" s="16">
        <f>J447*'الافتراضات'!$B$2*(1+'الافتراضات'!$B$3)</f>
        <v/>
      </c>
      <c r="T447" s="16">
        <f>L447*'الافتراضات'!$B$4</f>
        <v/>
      </c>
      <c r="U447" s="16">
        <f>(S447+T447)*'الافتراضات'!$B$5</f>
        <v/>
      </c>
      <c r="V447" s="16">
        <f>S447+T447+U447</f>
        <v/>
      </c>
      <c r="W447" s="16">
        <f>MAX(1,E447*P447)</f>
        <v/>
      </c>
      <c r="X447" s="16">
        <f>E447*'الافتراضات'!$B$7</f>
        <v/>
      </c>
      <c r="Y447" s="16">
        <f>E447*'الافتراضات'!$B$8</f>
        <v/>
      </c>
      <c r="Z447" s="16">
        <f>E447/(1+'الافتراضات'!$B$6)</f>
        <v/>
      </c>
      <c r="AA447" s="16">
        <f>Z447-V447-W447-Q447-X447-Y447</f>
        <v/>
      </c>
      <c r="AB447" s="17">
        <f>IF(Z447=0,0,AA447/Z447)</f>
        <v/>
      </c>
      <c r="AC447" s="17">
        <f>IF(V447=0,0,AA447/V447)</f>
        <v/>
      </c>
      <c r="AD447" s="18">
        <f>R447*V447</f>
        <v/>
      </c>
      <c r="AE447" s="16">
        <f>IF(AB447&gt;='الافتراضات'!$B$9,IF(O447="لا","ابدأ به","جيد – يحتاج شهادة"),IF(AB447&gt;='الافتراضات'!$B$10,"مقبول","ضعيف"))</f>
        <v/>
      </c>
      <c r="AF447" s="16">
        <f>IF((1-'الافتراضات'!$B$9)/(1+'الافتراضات'!$B$6)-P447-'الافتراضات'!$B$7-'الافتراضات'!$B$8&lt;=0,0,(V447+Q447)/((1-'الافتراضات'!$B$9)/(1+'الافتراضات'!$B$6)-P447-'الافتراضات'!$B$7-'الافتراضات'!$B$8))</f>
        <v/>
      </c>
    </row>
    <row r="448">
      <c r="A448" s="10" t="n">
        <v>447</v>
      </c>
      <c r="B448" s="11" t="inlineStr">
        <is>
          <t>المنزل والمطبخ</t>
        </is>
      </c>
      <c r="C448" s="11" t="inlineStr">
        <is>
          <t>فتاحة علب كهربائية</t>
        </is>
      </c>
      <c r="D448" s="11" t="inlineStr">
        <is>
          <t>electric can opener</t>
        </is>
      </c>
      <c r="E448" s="12" t="n">
        <v>34</v>
      </c>
      <c r="F448" s="10" t="inlineStr">
        <is>
          <t>تقدير</t>
        </is>
      </c>
      <c r="G448" s="10" t="inlineStr">
        <is>
          <t>تقدير</t>
        </is>
      </c>
      <c r="H448" s="10" t="inlineStr">
        <is>
          <t>لم تُفحص</t>
        </is>
      </c>
      <c r="I448" s="10" t="inlineStr">
        <is>
          <t>لم يُفحص</t>
        </is>
      </c>
      <c r="J448" s="13" t="n">
        <v>3</v>
      </c>
      <c r="K448" s="11" t="inlineStr">
        <is>
          <t>تقدير</t>
        </is>
      </c>
      <c r="L448" s="14" t="n">
        <v>0.4</v>
      </c>
      <c r="M448" s="10" t="inlineStr">
        <is>
          <t>صغير</t>
        </is>
      </c>
      <c r="N448" s="11" t="inlineStr">
        <is>
          <t>طوال السنة</t>
        </is>
      </c>
      <c r="O448" s="11" t="inlineStr">
        <is>
          <t>SABER + بطارية ليثيوم</t>
        </is>
      </c>
      <c r="P448" s="15" t="n">
        <v>0.15</v>
      </c>
      <c r="Q448" s="14" t="n">
        <v>9.5</v>
      </c>
      <c r="R448" s="14" t="n">
        <v>50</v>
      </c>
      <c r="S448" s="16">
        <f>J448*'الافتراضات'!$B$2*(1+'الافتراضات'!$B$3)</f>
        <v/>
      </c>
      <c r="T448" s="16">
        <f>L448*'الافتراضات'!$B$4</f>
        <v/>
      </c>
      <c r="U448" s="16">
        <f>(S448+T448)*'الافتراضات'!$B$5</f>
        <v/>
      </c>
      <c r="V448" s="16">
        <f>S448+T448+U448</f>
        <v/>
      </c>
      <c r="W448" s="16">
        <f>MAX(1,E448*P448)</f>
        <v/>
      </c>
      <c r="X448" s="16">
        <f>E448*'الافتراضات'!$B$7</f>
        <v/>
      </c>
      <c r="Y448" s="16">
        <f>E448*'الافتراضات'!$B$8</f>
        <v/>
      </c>
      <c r="Z448" s="16">
        <f>E448/(1+'الافتراضات'!$B$6)</f>
        <v/>
      </c>
      <c r="AA448" s="16">
        <f>Z448-V448-W448-Q448-X448-Y448</f>
        <v/>
      </c>
      <c r="AB448" s="17">
        <f>IF(Z448=0,0,AA448/Z448)</f>
        <v/>
      </c>
      <c r="AC448" s="17">
        <f>IF(V448=0,0,AA448/V448)</f>
        <v/>
      </c>
      <c r="AD448" s="18">
        <f>R448*V448</f>
        <v/>
      </c>
      <c r="AE448" s="16">
        <f>IF(AB448&gt;='الافتراضات'!$B$9,IF(O448="لا","ابدأ به","جيد – يحتاج شهادة"),IF(AB448&gt;='الافتراضات'!$B$10,"مقبول","ضعيف"))</f>
        <v/>
      </c>
      <c r="AF448" s="16">
        <f>IF((1-'الافتراضات'!$B$9)/(1+'الافتراضات'!$B$6)-P448-'الافتراضات'!$B$7-'الافتراضات'!$B$8&lt;=0,0,(V448+Q448)/((1-'الافتراضات'!$B$9)/(1+'الافتراضات'!$B$6)-P448-'الافتراضات'!$B$7-'الافتراضات'!$B$8))</f>
        <v/>
      </c>
    </row>
    <row r="449">
      <c r="A449" s="10" t="n">
        <v>448</v>
      </c>
      <c r="B449" s="11" t="inlineStr">
        <is>
          <t>الحيوانات الأليفة</t>
        </is>
      </c>
      <c r="C449" s="11" t="inlineStr">
        <is>
          <t>مضخة هواء للأسماك</t>
        </is>
      </c>
      <c r="D449" s="11" t="inlineStr">
        <is>
          <t>aquarium air pump</t>
        </is>
      </c>
      <c r="E449" s="12" t="n">
        <v>34</v>
      </c>
      <c r="F449" s="10" t="inlineStr">
        <is>
          <t>تقدير</t>
        </is>
      </c>
      <c r="G449" s="10" t="inlineStr">
        <is>
          <t>تقدير</t>
        </is>
      </c>
      <c r="H449" s="10" t="inlineStr">
        <is>
          <t>لم تُفحص</t>
        </is>
      </c>
      <c r="I449" s="10" t="inlineStr">
        <is>
          <t>لم يُفحص</t>
        </is>
      </c>
      <c r="J449" s="13" t="n">
        <v>3</v>
      </c>
      <c r="K449" s="11" t="inlineStr">
        <is>
          <t>تقدير</t>
        </is>
      </c>
      <c r="L449" s="14" t="n">
        <v>0.4</v>
      </c>
      <c r="M449" s="10" t="inlineStr">
        <is>
          <t>صغير</t>
        </is>
      </c>
      <c r="N449" s="11" t="inlineStr">
        <is>
          <t>طوال السنة</t>
        </is>
      </c>
      <c r="O449" s="11" t="inlineStr">
        <is>
          <t>SABER</t>
        </is>
      </c>
      <c r="P449" s="15" t="n">
        <v>0.15</v>
      </c>
      <c r="Q449" s="14" t="n">
        <v>9.5</v>
      </c>
      <c r="R449" s="14" t="n">
        <v>50</v>
      </c>
      <c r="S449" s="16">
        <f>J449*'الافتراضات'!$B$2*(1+'الافتراضات'!$B$3)</f>
        <v/>
      </c>
      <c r="T449" s="16">
        <f>L449*'الافتراضات'!$B$4</f>
        <v/>
      </c>
      <c r="U449" s="16">
        <f>(S449+T449)*'الافتراضات'!$B$5</f>
        <v/>
      </c>
      <c r="V449" s="16">
        <f>S449+T449+U449</f>
        <v/>
      </c>
      <c r="W449" s="16">
        <f>MAX(1,E449*P449)</f>
        <v/>
      </c>
      <c r="X449" s="16">
        <f>E449*'الافتراضات'!$B$7</f>
        <v/>
      </c>
      <c r="Y449" s="16">
        <f>E449*'الافتراضات'!$B$8</f>
        <v/>
      </c>
      <c r="Z449" s="16">
        <f>E449/(1+'الافتراضات'!$B$6)</f>
        <v/>
      </c>
      <c r="AA449" s="16">
        <f>Z449-V449-W449-Q449-X449-Y449</f>
        <v/>
      </c>
      <c r="AB449" s="17">
        <f>IF(Z449=0,0,AA449/Z449)</f>
        <v/>
      </c>
      <c r="AC449" s="17">
        <f>IF(V449=0,0,AA449/V449)</f>
        <v/>
      </c>
      <c r="AD449" s="18">
        <f>R449*V449</f>
        <v/>
      </c>
      <c r="AE449" s="16">
        <f>IF(AB449&gt;='الافتراضات'!$B$9,IF(O449="لا","ابدأ به","جيد – يحتاج شهادة"),IF(AB449&gt;='الافتراضات'!$B$10,"مقبول","ضعيف"))</f>
        <v/>
      </c>
      <c r="AF449" s="16">
        <f>IF((1-'الافتراضات'!$B$9)/(1+'الافتراضات'!$B$6)-P449-'الافتراضات'!$B$7-'الافتراضات'!$B$8&lt;=0,0,(V449+Q449)/((1-'الافتراضات'!$B$9)/(1+'الافتراضات'!$B$6)-P449-'الافتراضات'!$B$7-'الافتراضات'!$B$8))</f>
        <v/>
      </c>
    </row>
    <row r="450">
      <c r="A450" s="10" t="n">
        <v>449</v>
      </c>
      <c r="B450" s="11" t="inlineStr">
        <is>
          <t>إكسسوارات الجوال والإلكترونيات</t>
        </is>
      </c>
      <c r="C450" s="11" t="inlineStr">
        <is>
          <t>ساعة منبه رقمية LED</t>
        </is>
      </c>
      <c r="D450" s="11" t="inlineStr">
        <is>
          <t>digital alarm clock LED</t>
        </is>
      </c>
      <c r="E450" s="12" t="n">
        <v>29</v>
      </c>
      <c r="F450" s="10" t="inlineStr">
        <is>
          <t>تقدير</t>
        </is>
      </c>
      <c r="G450" s="10" t="inlineStr">
        <is>
          <t>تقدير</t>
        </is>
      </c>
      <c r="H450" s="10" t="inlineStr">
        <is>
          <t>لم تُفحص</t>
        </is>
      </c>
      <c r="I450" s="10" t="inlineStr">
        <is>
          <t>لم يُفحص</t>
        </is>
      </c>
      <c r="J450" s="13" t="n">
        <v>2.6</v>
      </c>
      <c r="K450" s="11" t="inlineStr">
        <is>
          <t>تقدير</t>
        </is>
      </c>
      <c r="L450" s="14" t="n">
        <v>0.25</v>
      </c>
      <c r="M450" s="10" t="inlineStr">
        <is>
          <t>صغير</t>
        </is>
      </c>
      <c r="N450" s="11" t="inlineStr">
        <is>
          <t>طوال السنة</t>
        </is>
      </c>
      <c r="O450" s="11" t="inlineStr">
        <is>
          <t>SABER</t>
        </is>
      </c>
      <c r="P450" s="15" t="n">
        <v>0.14</v>
      </c>
      <c r="Q450" s="14" t="n">
        <v>9</v>
      </c>
      <c r="R450" s="14" t="n">
        <v>50</v>
      </c>
      <c r="S450" s="16">
        <f>J450*'الافتراضات'!$B$2*(1+'الافتراضات'!$B$3)</f>
        <v/>
      </c>
      <c r="T450" s="16">
        <f>L450*'الافتراضات'!$B$4</f>
        <v/>
      </c>
      <c r="U450" s="16">
        <f>(S450+T450)*'الافتراضات'!$B$5</f>
        <v/>
      </c>
      <c r="V450" s="16">
        <f>S450+T450+U450</f>
        <v/>
      </c>
      <c r="W450" s="16">
        <f>MAX(1,E450*P450)</f>
        <v/>
      </c>
      <c r="X450" s="16">
        <f>E450*'الافتراضات'!$B$7</f>
        <v/>
      </c>
      <c r="Y450" s="16">
        <f>E450*'الافتراضات'!$B$8</f>
        <v/>
      </c>
      <c r="Z450" s="16">
        <f>E450/(1+'الافتراضات'!$B$6)</f>
        <v/>
      </c>
      <c r="AA450" s="16">
        <f>Z450-V450-W450-Q450-X450-Y450</f>
        <v/>
      </c>
      <c r="AB450" s="17">
        <f>IF(Z450=0,0,AA450/Z450)</f>
        <v/>
      </c>
      <c r="AC450" s="17">
        <f>IF(V450=0,0,AA450/V450)</f>
        <v/>
      </c>
      <c r="AD450" s="18">
        <f>R450*V450</f>
        <v/>
      </c>
      <c r="AE450" s="16">
        <f>IF(AB450&gt;='الافتراضات'!$B$9,IF(O450="لا","ابدأ به","جيد – يحتاج شهادة"),IF(AB450&gt;='الافتراضات'!$B$10,"مقبول","ضعيف"))</f>
        <v/>
      </c>
      <c r="AF450" s="16">
        <f>IF((1-'الافتراضات'!$B$9)/(1+'الافتراضات'!$B$6)-P450-'الافتراضات'!$B$7-'الافتراضات'!$B$8&lt;=0,0,(V450+Q450)/((1-'الافتراضات'!$B$9)/(1+'الافتراضات'!$B$6)-P450-'الافتراضات'!$B$7-'الافتراضات'!$B$8))</f>
        <v/>
      </c>
    </row>
    <row r="451">
      <c r="A451" s="10" t="n">
        <v>450</v>
      </c>
      <c r="B451" s="11" t="inlineStr">
        <is>
          <t>إكسسوارات الجوال والإلكترونيات</t>
        </is>
      </c>
      <c r="C451" s="11" t="inlineStr">
        <is>
          <t>محول مقبس سفر عالمي</t>
        </is>
      </c>
      <c r="D451" s="11" t="inlineStr">
        <is>
          <t>universal travel adapter</t>
        </is>
      </c>
      <c r="E451" s="12" t="n">
        <v>32</v>
      </c>
      <c r="F451" s="10" t="inlineStr">
        <is>
          <t>تقدير</t>
        </is>
      </c>
      <c r="G451" s="10" t="inlineStr">
        <is>
          <t>تقدير</t>
        </is>
      </c>
      <c r="H451" s="10" t="inlineStr">
        <is>
          <t>لم تُفحص</t>
        </is>
      </c>
      <c r="I451" s="10" t="inlineStr">
        <is>
          <t>لم يُفحص</t>
        </is>
      </c>
      <c r="J451" s="13" t="n">
        <v>2.8</v>
      </c>
      <c r="K451" s="11" t="inlineStr">
        <is>
          <t>تقدير</t>
        </is>
      </c>
      <c r="L451" s="14" t="n">
        <v>0.2</v>
      </c>
      <c r="M451" s="10" t="inlineStr">
        <is>
          <t>صغير</t>
        </is>
      </c>
      <c r="N451" s="11" t="inlineStr">
        <is>
          <t>طوال السنة</t>
        </is>
      </c>
      <c r="O451" s="11" t="inlineStr">
        <is>
          <t>SABER</t>
        </is>
      </c>
      <c r="P451" s="15" t="n">
        <v>0.2</v>
      </c>
      <c r="Q451" s="14" t="n">
        <v>9</v>
      </c>
      <c r="R451" s="14" t="n">
        <v>50</v>
      </c>
      <c r="S451" s="16">
        <f>J451*'الافتراضات'!$B$2*(1+'الافتراضات'!$B$3)</f>
        <v/>
      </c>
      <c r="T451" s="16">
        <f>L451*'الافتراضات'!$B$4</f>
        <v/>
      </c>
      <c r="U451" s="16">
        <f>(S451+T451)*'الافتراضات'!$B$5</f>
        <v/>
      </c>
      <c r="V451" s="16">
        <f>S451+T451+U451</f>
        <v/>
      </c>
      <c r="W451" s="16">
        <f>MAX(1,E451*P451)</f>
        <v/>
      </c>
      <c r="X451" s="16">
        <f>E451*'الافتراضات'!$B$7</f>
        <v/>
      </c>
      <c r="Y451" s="16">
        <f>E451*'الافتراضات'!$B$8</f>
        <v/>
      </c>
      <c r="Z451" s="16">
        <f>E451/(1+'الافتراضات'!$B$6)</f>
        <v/>
      </c>
      <c r="AA451" s="16">
        <f>Z451-V451-W451-Q451-X451-Y451</f>
        <v/>
      </c>
      <c r="AB451" s="17">
        <f>IF(Z451=0,0,AA451/Z451)</f>
        <v/>
      </c>
      <c r="AC451" s="17">
        <f>IF(V451=0,0,AA451/V451)</f>
        <v/>
      </c>
      <c r="AD451" s="18">
        <f>R451*V451</f>
        <v/>
      </c>
      <c r="AE451" s="16">
        <f>IF(AB451&gt;='الافتراضات'!$B$9,IF(O451="لا","ابدأ به","جيد – يحتاج شهادة"),IF(AB451&gt;='الافتراضات'!$B$10,"مقبول","ضعيف"))</f>
        <v/>
      </c>
      <c r="AF451" s="16">
        <f>IF((1-'الافتراضات'!$B$9)/(1+'الافتراضات'!$B$6)-P451-'الافتراضات'!$B$7-'الافتراضات'!$B$8&lt;=0,0,(V451+Q451)/((1-'الافتراضات'!$B$9)/(1+'الافتراضات'!$B$6)-P451-'الافتراضات'!$B$7-'الافتراضات'!$B$8))</f>
        <v/>
      </c>
    </row>
    <row r="452">
      <c r="A452" s="10" t="n">
        <v>451</v>
      </c>
      <c r="B452" s="11" t="inlineStr">
        <is>
          <t>الرياضة واللياقة</t>
        </is>
      </c>
      <c r="C452" s="11" t="inlineStr">
        <is>
          <t>سوار مقاومة للمعصم</t>
        </is>
      </c>
      <c r="D452" s="11" t="inlineStr">
        <is>
          <t>wrist strengthener roller</t>
        </is>
      </c>
      <c r="E452" s="12" t="n">
        <v>25</v>
      </c>
      <c r="F452" s="10" t="inlineStr">
        <is>
          <t>تقدير</t>
        </is>
      </c>
      <c r="G452" s="10" t="inlineStr">
        <is>
          <t>تقدير</t>
        </is>
      </c>
      <c r="H452" s="10" t="inlineStr">
        <is>
          <t>لم تُفحص</t>
        </is>
      </c>
      <c r="I452" s="10" t="inlineStr">
        <is>
          <t>لم يُفحص</t>
        </is>
      </c>
      <c r="J452" s="13" t="n">
        <v>1.6</v>
      </c>
      <c r="K452" s="11" t="inlineStr">
        <is>
          <t>تقدير</t>
        </is>
      </c>
      <c r="L452" s="14" t="n">
        <v>0.4</v>
      </c>
      <c r="M452" s="10" t="inlineStr">
        <is>
          <t>صغير</t>
        </is>
      </c>
      <c r="N452" s="11" t="inlineStr">
        <is>
          <t>طوال السنة</t>
        </is>
      </c>
      <c r="O452" s="11" t="inlineStr">
        <is>
          <t>لا</t>
        </is>
      </c>
      <c r="P452" s="15" t="n">
        <v>0.2</v>
      </c>
      <c r="Q452" s="14" t="n">
        <v>7.5</v>
      </c>
      <c r="R452" s="14" t="n">
        <v>50</v>
      </c>
      <c r="S452" s="16">
        <f>J452*'الافتراضات'!$B$2*(1+'الافتراضات'!$B$3)</f>
        <v/>
      </c>
      <c r="T452" s="16">
        <f>L452*'الافتراضات'!$B$4</f>
        <v/>
      </c>
      <c r="U452" s="16">
        <f>(S452+T452)*'الافتراضات'!$B$5</f>
        <v/>
      </c>
      <c r="V452" s="16">
        <f>S452+T452+U452</f>
        <v/>
      </c>
      <c r="W452" s="16">
        <f>MAX(1,E452*P452)</f>
        <v/>
      </c>
      <c r="X452" s="16">
        <f>E452*'الافتراضات'!$B$7</f>
        <v/>
      </c>
      <c r="Y452" s="16">
        <f>E452*'الافتراضات'!$B$8</f>
        <v/>
      </c>
      <c r="Z452" s="16">
        <f>E452/(1+'الافتراضات'!$B$6)</f>
        <v/>
      </c>
      <c r="AA452" s="16">
        <f>Z452-V452-W452-Q452-X452-Y452</f>
        <v/>
      </c>
      <c r="AB452" s="17">
        <f>IF(Z452=0,0,AA452/Z452)</f>
        <v/>
      </c>
      <c r="AC452" s="17">
        <f>IF(V452=0,0,AA452/V452)</f>
        <v/>
      </c>
      <c r="AD452" s="18">
        <f>R452*V452</f>
        <v/>
      </c>
      <c r="AE452" s="16">
        <f>IF(AB452&gt;='الافتراضات'!$B$9,IF(O452="لا","ابدأ به","جيد – يحتاج شهادة"),IF(AB452&gt;='الافتراضات'!$B$10,"مقبول","ضعيف"))</f>
        <v/>
      </c>
      <c r="AF452" s="16">
        <f>IF((1-'الافتراضات'!$B$9)/(1+'الافتراضات'!$B$6)-P452-'الافتراضات'!$B$7-'الافتراضات'!$B$8&lt;=0,0,(V452+Q452)/((1-'الافتراضات'!$B$9)/(1+'الافتراضات'!$B$6)-P452-'الافتراضات'!$B$7-'الافتراضات'!$B$8))</f>
        <v/>
      </c>
    </row>
    <row r="453">
      <c r="A453" s="10" t="n">
        <v>452</v>
      </c>
      <c r="B453" s="11" t="inlineStr">
        <is>
          <t>الرياضة واللياقة</t>
        </is>
      </c>
      <c r="C453" s="11" t="inlineStr">
        <is>
          <t>جهاز وزن ذكي للجسم</t>
        </is>
      </c>
      <c r="D453" s="11" t="inlineStr">
        <is>
          <t>smart body fat scale</t>
        </is>
      </c>
      <c r="E453" s="12" t="n">
        <v>68</v>
      </c>
      <c r="F453" s="10" t="inlineStr">
        <is>
          <t>تقدير</t>
        </is>
      </c>
      <c r="G453" s="10" t="inlineStr">
        <is>
          <t>تقدير</t>
        </is>
      </c>
      <c r="H453" s="10" t="inlineStr">
        <is>
          <t>لم تُفحص</t>
        </is>
      </c>
      <c r="I453" s="10" t="inlineStr">
        <is>
          <t>لم يُفحص</t>
        </is>
      </c>
      <c r="J453" s="13" t="n">
        <v>6</v>
      </c>
      <c r="K453" s="11" t="inlineStr">
        <is>
          <t>تقدير</t>
        </is>
      </c>
      <c r="L453" s="14" t="n">
        <v>1.7</v>
      </c>
      <c r="M453" s="10" t="inlineStr">
        <is>
          <t>متوسط</t>
        </is>
      </c>
      <c r="N453" s="11" t="inlineStr">
        <is>
          <t>طوال السنة</t>
        </is>
      </c>
      <c r="O453" s="11" t="inlineStr">
        <is>
          <t>SABER + بطارية ليثيوم</t>
        </is>
      </c>
      <c r="P453" s="15" t="n">
        <v>0.15</v>
      </c>
      <c r="Q453" s="14" t="n">
        <v>12</v>
      </c>
      <c r="R453" s="14" t="n">
        <v>50</v>
      </c>
      <c r="S453" s="16">
        <f>J453*'الافتراضات'!$B$2*(1+'الافتراضات'!$B$3)</f>
        <v/>
      </c>
      <c r="T453" s="16">
        <f>L453*'الافتراضات'!$B$4</f>
        <v/>
      </c>
      <c r="U453" s="16">
        <f>(S453+T453)*'الافتراضات'!$B$5</f>
        <v/>
      </c>
      <c r="V453" s="16">
        <f>S453+T453+U453</f>
        <v/>
      </c>
      <c r="W453" s="16">
        <f>MAX(1,E453*P453)</f>
        <v/>
      </c>
      <c r="X453" s="16">
        <f>E453*'الافتراضات'!$B$7</f>
        <v/>
      </c>
      <c r="Y453" s="16">
        <f>E453*'الافتراضات'!$B$8</f>
        <v/>
      </c>
      <c r="Z453" s="16">
        <f>E453/(1+'الافتراضات'!$B$6)</f>
        <v/>
      </c>
      <c r="AA453" s="16">
        <f>Z453-V453-W453-Q453-X453-Y453</f>
        <v/>
      </c>
      <c r="AB453" s="17">
        <f>IF(Z453=0,0,AA453/Z453)</f>
        <v/>
      </c>
      <c r="AC453" s="17">
        <f>IF(V453=0,0,AA453/V453)</f>
        <v/>
      </c>
      <c r="AD453" s="18">
        <f>R453*V453</f>
        <v/>
      </c>
      <c r="AE453" s="16">
        <f>IF(AB453&gt;='الافتراضات'!$B$9,IF(O453="لا","ابدأ به","جيد – يحتاج شهادة"),IF(AB453&gt;='الافتراضات'!$B$10,"مقبول","ضعيف"))</f>
        <v/>
      </c>
      <c r="AF453" s="16">
        <f>IF((1-'الافتراضات'!$B$9)/(1+'الافتراضات'!$B$6)-P453-'الافتراضات'!$B$7-'الافتراضات'!$B$8&lt;=0,0,(V453+Q453)/((1-'الافتراضات'!$B$9)/(1+'الافتراضات'!$B$6)-P453-'الافتراضات'!$B$7-'الافتراضات'!$B$8))</f>
        <v/>
      </c>
    </row>
    <row r="454">
      <c r="A454" s="10" t="n">
        <v>453</v>
      </c>
      <c r="B454" s="11" t="inlineStr">
        <is>
          <t>المنزل والمطبخ</t>
        </is>
      </c>
      <c r="C454" s="11" t="inlineStr">
        <is>
          <t>مسخن قهوة مكتبي</t>
        </is>
      </c>
      <c r="D454" s="11" t="inlineStr">
        <is>
          <t>coffee mug warmer</t>
        </is>
      </c>
      <c r="E454" s="12" t="n">
        <v>34</v>
      </c>
      <c r="F454" s="10" t="inlineStr">
        <is>
          <t>تقدير</t>
        </is>
      </c>
      <c r="G454" s="10" t="inlineStr">
        <is>
          <t>تقدير</t>
        </is>
      </c>
      <c r="H454" s="10" t="inlineStr">
        <is>
          <t>لم تُفحص</t>
        </is>
      </c>
      <c r="I454" s="10" t="inlineStr">
        <is>
          <t>لم يُفحص</t>
        </is>
      </c>
      <c r="J454" s="13" t="n">
        <v>3</v>
      </c>
      <c r="K454" s="11" t="inlineStr">
        <is>
          <t>تقدير</t>
        </is>
      </c>
      <c r="L454" s="14" t="n">
        <v>0.5</v>
      </c>
      <c r="M454" s="10" t="inlineStr">
        <is>
          <t>صغير</t>
        </is>
      </c>
      <c r="N454" s="11" t="inlineStr">
        <is>
          <t>طوال السنة</t>
        </is>
      </c>
      <c r="O454" s="11" t="inlineStr">
        <is>
          <t>SABER</t>
        </is>
      </c>
      <c r="P454" s="15" t="n">
        <v>0.14</v>
      </c>
      <c r="Q454" s="14" t="n">
        <v>9.5</v>
      </c>
      <c r="R454" s="14" t="n">
        <v>50</v>
      </c>
      <c r="S454" s="16">
        <f>J454*'الافتراضات'!$B$2*(1+'الافتراضات'!$B$3)</f>
        <v/>
      </c>
      <c r="T454" s="16">
        <f>L454*'الافتراضات'!$B$4</f>
        <v/>
      </c>
      <c r="U454" s="16">
        <f>(S454+T454)*'الافتراضات'!$B$5</f>
        <v/>
      </c>
      <c r="V454" s="16">
        <f>S454+T454+U454</f>
        <v/>
      </c>
      <c r="W454" s="16">
        <f>MAX(1,E454*P454)</f>
        <v/>
      </c>
      <c r="X454" s="16">
        <f>E454*'الافتراضات'!$B$7</f>
        <v/>
      </c>
      <c r="Y454" s="16">
        <f>E454*'الافتراضات'!$B$8</f>
        <v/>
      </c>
      <c r="Z454" s="16">
        <f>E454/(1+'الافتراضات'!$B$6)</f>
        <v/>
      </c>
      <c r="AA454" s="16">
        <f>Z454-V454-W454-Q454-X454-Y454</f>
        <v/>
      </c>
      <c r="AB454" s="17">
        <f>IF(Z454=0,0,AA454/Z454)</f>
        <v/>
      </c>
      <c r="AC454" s="17">
        <f>IF(V454=0,0,AA454/V454)</f>
        <v/>
      </c>
      <c r="AD454" s="18">
        <f>R454*V454</f>
        <v/>
      </c>
      <c r="AE454" s="16">
        <f>IF(AB454&gt;='الافتراضات'!$B$9,IF(O454="لا","ابدأ به","جيد – يحتاج شهادة"),IF(AB454&gt;='الافتراضات'!$B$10,"مقبول","ضعيف"))</f>
        <v/>
      </c>
      <c r="AF454" s="16">
        <f>IF((1-'الافتراضات'!$B$9)/(1+'الافتراضات'!$B$6)-P454-'الافتراضات'!$B$7-'الافتراضات'!$B$8&lt;=0,0,(V454+Q454)/((1-'الافتراضات'!$B$9)/(1+'الافتراضات'!$B$6)-P454-'الافتراضات'!$B$7-'الافتراضات'!$B$8))</f>
        <v/>
      </c>
    </row>
    <row r="455">
      <c r="A455" s="10" t="n">
        <v>454</v>
      </c>
      <c r="B455" s="11" t="inlineStr">
        <is>
          <t>الحقائب والسفر</t>
        </is>
      </c>
      <c r="C455" s="11" t="inlineStr">
        <is>
          <t>حقيبة كتف رجالية</t>
        </is>
      </c>
      <c r="D455" s="11" t="inlineStr">
        <is>
          <t>men crossbody bag</t>
        </is>
      </c>
      <c r="E455" s="12" t="n">
        <v>45</v>
      </c>
      <c r="F455" s="10" t="inlineStr">
        <is>
          <t>تقدير</t>
        </is>
      </c>
      <c r="G455" s="10" t="inlineStr">
        <is>
          <t>تقدير</t>
        </is>
      </c>
      <c r="H455" s="10" t="inlineStr">
        <is>
          <t>لم تُفحص</t>
        </is>
      </c>
      <c r="I455" s="10" t="inlineStr">
        <is>
          <t>لم يُفحص</t>
        </is>
      </c>
      <c r="J455" s="13" t="n">
        <v>4</v>
      </c>
      <c r="K455" s="11" t="inlineStr">
        <is>
          <t>تقدير</t>
        </is>
      </c>
      <c r="L455" s="14" t="n">
        <v>0.5</v>
      </c>
      <c r="M455" s="10" t="inlineStr">
        <is>
          <t>متوسط</t>
        </is>
      </c>
      <c r="N455" s="11" t="inlineStr">
        <is>
          <t>طوال السنة</t>
        </is>
      </c>
      <c r="O455" s="11" t="inlineStr">
        <is>
          <t>لا</t>
        </is>
      </c>
      <c r="P455" s="15" t="n">
        <v>0.25</v>
      </c>
      <c r="Q455" s="14" t="n">
        <v>9.5</v>
      </c>
      <c r="R455" s="14" t="n">
        <v>50</v>
      </c>
      <c r="S455" s="16">
        <f>J455*'الافتراضات'!$B$2*(1+'الافتراضات'!$B$3)</f>
        <v/>
      </c>
      <c r="T455" s="16">
        <f>L455*'الافتراضات'!$B$4</f>
        <v/>
      </c>
      <c r="U455" s="16">
        <f>(S455+T455)*'الافتراضات'!$B$5</f>
        <v/>
      </c>
      <c r="V455" s="16">
        <f>S455+T455+U455</f>
        <v/>
      </c>
      <c r="W455" s="16">
        <f>MAX(1,E455*P455)</f>
        <v/>
      </c>
      <c r="X455" s="16">
        <f>E455*'الافتراضات'!$B$7</f>
        <v/>
      </c>
      <c r="Y455" s="16">
        <f>E455*'الافتراضات'!$B$8</f>
        <v/>
      </c>
      <c r="Z455" s="16">
        <f>E455/(1+'الافتراضات'!$B$6)</f>
        <v/>
      </c>
      <c r="AA455" s="16">
        <f>Z455-V455-W455-Q455-X455-Y455</f>
        <v/>
      </c>
      <c r="AB455" s="17">
        <f>IF(Z455=0,0,AA455/Z455)</f>
        <v/>
      </c>
      <c r="AC455" s="17">
        <f>IF(V455=0,0,AA455/V455)</f>
        <v/>
      </c>
      <c r="AD455" s="18">
        <f>R455*V455</f>
        <v/>
      </c>
      <c r="AE455" s="16">
        <f>IF(AB455&gt;='الافتراضات'!$B$9,IF(O455="لا","ابدأ به","جيد – يحتاج شهادة"),IF(AB455&gt;='الافتراضات'!$B$10,"مقبول","ضعيف"))</f>
        <v/>
      </c>
      <c r="AF455" s="16">
        <f>IF((1-'الافتراضات'!$B$9)/(1+'الافتراضات'!$B$6)-P455-'الافتراضات'!$B$7-'الافتراضات'!$B$8&lt;=0,0,(V455+Q455)/((1-'الافتراضات'!$B$9)/(1+'الافتراضات'!$B$6)-P455-'الافتراضات'!$B$7-'الافتراضات'!$B$8))</f>
        <v/>
      </c>
    </row>
    <row r="456">
      <c r="A456" s="10" t="n">
        <v>455</v>
      </c>
      <c r="B456" s="11" t="inlineStr">
        <is>
          <t>الرياضة واللياقة</t>
        </is>
      </c>
      <c r="C456" s="11" t="inlineStr">
        <is>
          <t>واقي ركبة للرياضة</t>
        </is>
      </c>
      <c r="D456" s="11" t="inlineStr">
        <is>
          <t>knee support sleeve</t>
        </is>
      </c>
      <c r="E456" s="12" t="n">
        <v>29</v>
      </c>
      <c r="F456" s="10" t="inlineStr">
        <is>
          <t>تقدير</t>
        </is>
      </c>
      <c r="G456" s="10" t="inlineStr">
        <is>
          <t>تقدير</t>
        </is>
      </c>
      <c r="H456" s="10" t="inlineStr">
        <is>
          <t>لم تُفحص</t>
        </is>
      </c>
      <c r="I456" s="10" t="inlineStr">
        <is>
          <t>لم يُفحص</t>
        </is>
      </c>
      <c r="J456" s="13" t="n">
        <v>2.6</v>
      </c>
      <c r="K456" s="11" t="inlineStr">
        <is>
          <t>تقدير</t>
        </is>
      </c>
      <c r="L456" s="14" t="n">
        <v>0.15</v>
      </c>
      <c r="M456" s="10" t="inlineStr">
        <is>
          <t>صغير</t>
        </is>
      </c>
      <c r="N456" s="11" t="inlineStr">
        <is>
          <t>طوال السنة</t>
        </is>
      </c>
      <c r="O456" s="11" t="inlineStr">
        <is>
          <t>لا</t>
        </is>
      </c>
      <c r="P456" s="15" t="n">
        <v>0.2</v>
      </c>
      <c r="Q456" s="14" t="n">
        <v>9</v>
      </c>
      <c r="R456" s="14" t="n">
        <v>50</v>
      </c>
      <c r="S456" s="16">
        <f>J456*'الافتراضات'!$B$2*(1+'الافتراضات'!$B$3)</f>
        <v/>
      </c>
      <c r="T456" s="16">
        <f>L456*'الافتراضات'!$B$4</f>
        <v/>
      </c>
      <c r="U456" s="16">
        <f>(S456+T456)*'الافتراضات'!$B$5</f>
        <v/>
      </c>
      <c r="V456" s="16">
        <f>S456+T456+U456</f>
        <v/>
      </c>
      <c r="W456" s="16">
        <f>MAX(1,E456*P456)</f>
        <v/>
      </c>
      <c r="X456" s="16">
        <f>E456*'الافتراضات'!$B$7</f>
        <v/>
      </c>
      <c r="Y456" s="16">
        <f>E456*'الافتراضات'!$B$8</f>
        <v/>
      </c>
      <c r="Z456" s="16">
        <f>E456/(1+'الافتراضات'!$B$6)</f>
        <v/>
      </c>
      <c r="AA456" s="16">
        <f>Z456-V456-W456-Q456-X456-Y456</f>
        <v/>
      </c>
      <c r="AB456" s="17">
        <f>IF(Z456=0,0,AA456/Z456)</f>
        <v/>
      </c>
      <c r="AC456" s="17">
        <f>IF(V456=0,0,AA456/V456)</f>
        <v/>
      </c>
      <c r="AD456" s="18">
        <f>R456*V456</f>
        <v/>
      </c>
      <c r="AE456" s="16">
        <f>IF(AB456&gt;='الافتراضات'!$B$9,IF(O456="لا","ابدأ به","جيد – يحتاج شهادة"),IF(AB456&gt;='الافتراضات'!$B$10,"مقبول","ضعيف"))</f>
        <v/>
      </c>
      <c r="AF456" s="16">
        <f>IF((1-'الافتراضات'!$B$9)/(1+'الافتراضات'!$B$6)-P456-'الافتراضات'!$B$7-'الافتراضات'!$B$8&lt;=0,0,(V456+Q456)/((1-'الافتراضات'!$B$9)/(1+'الافتراضات'!$B$6)-P456-'الافتراضات'!$B$7-'الافتراضات'!$B$8))</f>
        <v/>
      </c>
    </row>
    <row r="457">
      <c r="A457" s="10" t="n">
        <v>456</v>
      </c>
      <c r="B457" s="11" t="inlineStr">
        <is>
          <t>التخييم والسفر</t>
        </is>
      </c>
      <c r="C457" s="11" t="inlineStr">
        <is>
          <t>مصباح تخييم شمسي قابل للنفخ</t>
        </is>
      </c>
      <c r="D457" s="11" t="inlineStr">
        <is>
          <t>inflatable solar lantern</t>
        </is>
      </c>
      <c r="E457" s="12" t="n">
        <v>28</v>
      </c>
      <c r="F457" s="10" t="inlineStr">
        <is>
          <t>تقدير</t>
        </is>
      </c>
      <c r="G457" s="10" t="inlineStr">
        <is>
          <t>تقدير</t>
        </is>
      </c>
      <c r="H457" s="10" t="inlineStr">
        <is>
          <t>لم تُفحص</t>
        </is>
      </c>
      <c r="I457" s="10" t="inlineStr">
        <is>
          <t>لم يُفحص</t>
        </is>
      </c>
      <c r="J457" s="13" t="n">
        <v>2.5</v>
      </c>
      <c r="K457" s="11" t="inlineStr">
        <is>
          <t>تقدير</t>
        </is>
      </c>
      <c r="L457" s="14" t="n">
        <v>0.15</v>
      </c>
      <c r="M457" s="10" t="inlineStr">
        <is>
          <t>صغير</t>
        </is>
      </c>
      <c r="N457" s="11" t="inlineStr">
        <is>
          <t>الشتاء والكشتات</t>
        </is>
      </c>
      <c r="O457" s="11" t="inlineStr">
        <is>
          <t>SABER + بطارية ليثيوم</t>
        </is>
      </c>
      <c r="P457" s="15" t="n">
        <v>0.2</v>
      </c>
      <c r="Q457" s="14" t="n">
        <v>9</v>
      </c>
      <c r="R457" s="14" t="n">
        <v>50</v>
      </c>
      <c r="S457" s="16">
        <f>J457*'الافتراضات'!$B$2*(1+'الافتراضات'!$B$3)</f>
        <v/>
      </c>
      <c r="T457" s="16">
        <f>L457*'الافتراضات'!$B$4</f>
        <v/>
      </c>
      <c r="U457" s="16">
        <f>(S457+T457)*'الافتراضات'!$B$5</f>
        <v/>
      </c>
      <c r="V457" s="16">
        <f>S457+T457+U457</f>
        <v/>
      </c>
      <c r="W457" s="16">
        <f>MAX(1,E457*P457)</f>
        <v/>
      </c>
      <c r="X457" s="16">
        <f>E457*'الافتراضات'!$B$7</f>
        <v/>
      </c>
      <c r="Y457" s="16">
        <f>E457*'الافتراضات'!$B$8</f>
        <v/>
      </c>
      <c r="Z457" s="16">
        <f>E457/(1+'الافتراضات'!$B$6)</f>
        <v/>
      </c>
      <c r="AA457" s="16">
        <f>Z457-V457-W457-Q457-X457-Y457</f>
        <v/>
      </c>
      <c r="AB457" s="17">
        <f>IF(Z457=0,0,AA457/Z457)</f>
        <v/>
      </c>
      <c r="AC457" s="17">
        <f>IF(V457=0,0,AA457/V457)</f>
        <v/>
      </c>
      <c r="AD457" s="18">
        <f>R457*V457</f>
        <v/>
      </c>
      <c r="AE457" s="16">
        <f>IF(AB457&gt;='الافتراضات'!$B$9,IF(O457="لا","ابدأ به","جيد – يحتاج شهادة"),IF(AB457&gt;='الافتراضات'!$B$10,"مقبول","ضعيف"))</f>
        <v/>
      </c>
      <c r="AF457" s="16">
        <f>IF((1-'الافتراضات'!$B$9)/(1+'الافتراضات'!$B$6)-P457-'الافتراضات'!$B$7-'الافتراضات'!$B$8&lt;=0,0,(V457+Q457)/((1-'الافتراضات'!$B$9)/(1+'الافتراضات'!$B$6)-P457-'الافتراضات'!$B$7-'الافتراضات'!$B$8))</f>
        <v/>
      </c>
    </row>
    <row r="458">
      <c r="A458" s="10" t="n">
        <v>457</v>
      </c>
      <c r="B458" s="11" t="inlineStr">
        <is>
          <t>التخييم والسفر</t>
        </is>
      </c>
      <c r="C458" s="11" t="inlineStr">
        <is>
          <t>مصباح رأس LED قابل للشحن</t>
        </is>
      </c>
      <c r="D458" s="11" t="inlineStr">
        <is>
          <t>rechargeable LED headlamp</t>
        </is>
      </c>
      <c r="E458" s="12" t="n">
        <v>27</v>
      </c>
      <c r="F458" s="10" t="inlineStr">
        <is>
          <t>تقدير</t>
        </is>
      </c>
      <c r="G458" s="10" t="inlineStr">
        <is>
          <t>تقدير</t>
        </is>
      </c>
      <c r="H458" s="10" t="inlineStr">
        <is>
          <t>لم تُفحص</t>
        </is>
      </c>
      <c r="I458" s="10" t="inlineStr">
        <is>
          <t>لم يُفحص</t>
        </is>
      </c>
      <c r="J458" s="13" t="n">
        <v>2.4</v>
      </c>
      <c r="K458" s="11" t="inlineStr">
        <is>
          <t>تقدير</t>
        </is>
      </c>
      <c r="L458" s="14" t="n">
        <v>0.15</v>
      </c>
      <c r="M458" s="10" t="inlineStr">
        <is>
          <t>صغير</t>
        </is>
      </c>
      <c r="N458" s="11" t="inlineStr">
        <is>
          <t>الشتاء والكشتات</t>
        </is>
      </c>
      <c r="O458" s="11" t="inlineStr">
        <is>
          <t>SABER + بطارية ليثيوم</t>
        </is>
      </c>
      <c r="P458" s="15" t="n">
        <v>0.2</v>
      </c>
      <c r="Q458" s="14" t="n">
        <v>9</v>
      </c>
      <c r="R458" s="14" t="n">
        <v>50</v>
      </c>
      <c r="S458" s="16">
        <f>J458*'الافتراضات'!$B$2*(1+'الافتراضات'!$B$3)</f>
        <v/>
      </c>
      <c r="T458" s="16">
        <f>L458*'الافتراضات'!$B$4</f>
        <v/>
      </c>
      <c r="U458" s="16">
        <f>(S458+T458)*'الافتراضات'!$B$5</f>
        <v/>
      </c>
      <c r="V458" s="16">
        <f>S458+T458+U458</f>
        <v/>
      </c>
      <c r="W458" s="16">
        <f>MAX(1,E458*P458)</f>
        <v/>
      </c>
      <c r="X458" s="16">
        <f>E458*'الافتراضات'!$B$7</f>
        <v/>
      </c>
      <c r="Y458" s="16">
        <f>E458*'الافتراضات'!$B$8</f>
        <v/>
      </c>
      <c r="Z458" s="16">
        <f>E458/(1+'الافتراضات'!$B$6)</f>
        <v/>
      </c>
      <c r="AA458" s="16">
        <f>Z458-V458-W458-Q458-X458-Y458</f>
        <v/>
      </c>
      <c r="AB458" s="17">
        <f>IF(Z458=0,0,AA458/Z458)</f>
        <v/>
      </c>
      <c r="AC458" s="17">
        <f>IF(V458=0,0,AA458/V458)</f>
        <v/>
      </c>
      <c r="AD458" s="18">
        <f>R458*V458</f>
        <v/>
      </c>
      <c r="AE458" s="16">
        <f>IF(AB458&gt;='الافتراضات'!$B$9,IF(O458="لا","ابدأ به","جيد – يحتاج شهادة"),IF(AB458&gt;='الافتراضات'!$B$10,"مقبول","ضعيف"))</f>
        <v/>
      </c>
      <c r="AF458" s="16">
        <f>IF((1-'الافتراضات'!$B$9)/(1+'الافتراضات'!$B$6)-P458-'الافتراضات'!$B$7-'الافتراضات'!$B$8&lt;=0,0,(V458+Q458)/((1-'الافتراضات'!$B$9)/(1+'الافتراضات'!$B$6)-P458-'الافتراضات'!$B$7-'الافتراضات'!$B$8))</f>
        <v/>
      </c>
    </row>
  </sheetData>
  <autoFilter ref="A1:AF458"/>
  <conditionalFormatting sqref="AE2:AE458">
    <cfRule type="expression" priority="1" dxfId="0">
      <formula>$AE2="ابدأ به"</formula>
    </cfRule>
    <cfRule type="expression" priority="2" dxfId="1">
      <formula>$AE2="جيد – يحتاج شهادة"</formula>
    </cfRule>
    <cfRule type="expression" priority="3" dxfId="2">
      <formula>$AE2="مقبول"</formula>
    </cfRule>
    <cfRule type="expression" priority="4" dxfId="3">
      <formula>$AE2="ضعيف"</formula>
    </cfRule>
  </conditionalFormatting>
  <conditionalFormatting sqref="H2:H458">
    <cfRule type="expression" priority="5" dxfId="0">
      <formula>$H2="منخفضة"</formula>
    </cfRule>
    <cfRule type="expression" priority="6" dxfId="2">
      <formula>$H2="متوسطة"</formula>
    </cfRule>
    <cfRule type="expression" priority="7" dxfId="3">
      <formula>$H2="عالية"</formula>
    </cfRule>
  </conditionalFormatting>
  <conditionalFormatting sqref="K2:K458">
    <cfRule type="expression" priority="8" dxfId="4">
      <formula>$K2="تقدير"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2026-10-16T09:11:27Z</dcterms:created>
  <dcterms:modified xmlns:dcterms="http://purl.org/dc/terms/" xmlns:xsi="http://www.w3.org/2001/XMLSchema-instance" xsi:type="dcterms:W3CDTF">2026-10-16T09:11:28Z</dcterms:modified>
</cp:coreProperties>
</file>